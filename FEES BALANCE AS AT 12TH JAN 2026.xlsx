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ikai\Desktop\desktopBackup\MOE\"/>
    </mc:Choice>
  </mc:AlternateContent>
  <bookViews>
    <workbookView xWindow="1725" yWindow="2925" windowWidth="14175" windowHeight="7875" firstSheet="16" activeTab="23"/>
  </bookViews>
  <sheets>
    <sheet name="FO" sheetId="3" r:id="rId1"/>
    <sheet name="F4Y18" sheetId="11" r:id="rId2"/>
    <sheet name="F4X18" sheetId="12" r:id="rId3"/>
    <sheet name="F4 Y17" sheetId="13" r:id="rId4"/>
    <sheet name="F4X19" sheetId="25" r:id="rId5"/>
    <sheet name="Sheet1" sheetId="41" r:id="rId6"/>
    <sheet name="F4Y19" sheetId="24" r:id="rId7"/>
    <sheet name=" F4X17" sheetId="14" r:id="rId8"/>
    <sheet name="F4E20" sheetId="15" r:id="rId9"/>
    <sheet name="F4W20" sheetId="16" r:id="rId10"/>
    <sheet name="F4W21" sheetId="29" r:id="rId11"/>
    <sheet name="F4E21" sheetId="19" r:id="rId12"/>
    <sheet name="F4E22" sheetId="23" r:id="rId13"/>
    <sheet name="F4W22" sheetId="26" r:id="rId14"/>
    <sheet name="F4W23" sheetId="27" r:id="rId15"/>
    <sheet name="F4E23" sheetId="28" r:id="rId16"/>
    <sheet name="F4E24" sheetId="30" r:id="rId17"/>
    <sheet name="F4W24" sheetId="31" r:id="rId18"/>
    <sheet name="F4W25" sheetId="32" r:id="rId19"/>
    <sheet name=" F4E25" sheetId="33" r:id="rId20"/>
    <sheet name="F4E" sheetId="34" r:id="rId21"/>
    <sheet name="F4W" sheetId="35" r:id="rId22"/>
    <sheet name="F3W" sheetId="36" r:id="rId23"/>
    <sheet name="F3E" sheetId="37" r:id="rId24"/>
    <sheet name="colo" sheetId="38" r:id="rId25"/>
    <sheet name="G 10-26" sheetId="39" r:id="rId26"/>
    <sheet name="Sheet3" sheetId="40" r:id="rId27"/>
  </sheets>
  <definedNames>
    <definedName name="_xlnm._FilterDatabase" localSheetId="22" hidden="1">F3W!$A$1:$G$19</definedName>
    <definedName name="_xlnm._FilterDatabase" localSheetId="18" hidden="1">F4W25!#REF!</definedName>
  </definedNames>
  <calcPr calcId="152511"/>
</workbook>
</file>

<file path=xl/calcChain.xml><?xml version="1.0" encoding="utf-8"?>
<calcChain xmlns="http://schemas.openxmlformats.org/spreadsheetml/2006/main">
  <c r="E52" i="39" l="1"/>
  <c r="F35" i="35" l="1"/>
  <c r="G34" i="35"/>
  <c r="E35" i="35"/>
  <c r="G33" i="35" l="1"/>
  <c r="G45" i="34" l="1"/>
  <c r="G3" i="34" l="1"/>
  <c r="F44" i="37" l="1"/>
  <c r="G43" i="37"/>
  <c r="E44" i="37"/>
  <c r="F46" i="34"/>
  <c r="E46" i="34"/>
  <c r="G44" i="34"/>
  <c r="G43" i="34"/>
  <c r="G42" i="34" l="1"/>
  <c r="I3" i="33" l="1"/>
  <c r="R35" i="36"/>
  <c r="R34" i="36"/>
  <c r="R33" i="36"/>
  <c r="R23" i="36"/>
  <c r="R27" i="36"/>
  <c r="G16" i="37" l="1"/>
  <c r="G22" i="37" l="1"/>
  <c r="R31" i="36"/>
  <c r="R22" i="36"/>
  <c r="G24" i="37"/>
  <c r="G25" i="35"/>
  <c r="G17" i="37"/>
  <c r="Q45" i="36" l="1"/>
  <c r="R44" i="36"/>
  <c r="P45" i="36"/>
  <c r="G32" i="35" l="1"/>
  <c r="G31" i="35" l="1"/>
  <c r="R43" i="36" l="1"/>
  <c r="R42" i="36"/>
  <c r="R41" i="36" l="1"/>
  <c r="R18" i="36" l="1"/>
  <c r="R37" i="36"/>
  <c r="R40" i="36"/>
  <c r="R39" i="36"/>
  <c r="R38" i="36"/>
  <c r="R32" i="36"/>
  <c r="R30" i="36"/>
  <c r="R29" i="36"/>
  <c r="R28" i="36"/>
  <c r="R26" i="36"/>
  <c r="R25" i="36"/>
  <c r="R24" i="36"/>
  <c r="R21" i="36"/>
  <c r="R20" i="36"/>
  <c r="R19" i="36"/>
  <c r="R16" i="36"/>
  <c r="R15" i="36"/>
  <c r="R14" i="36"/>
  <c r="R13" i="36"/>
  <c r="R12" i="36"/>
  <c r="R11" i="36"/>
  <c r="R10" i="36"/>
  <c r="R9" i="36"/>
  <c r="R8" i="36"/>
  <c r="R7" i="36"/>
  <c r="R6" i="36"/>
  <c r="R5" i="36"/>
  <c r="R4" i="36"/>
  <c r="R3" i="36"/>
  <c r="G29" i="37"/>
  <c r="R45" i="36" l="1"/>
  <c r="G19" i="37"/>
  <c r="G18" i="37"/>
  <c r="G23" i="37"/>
  <c r="G20" i="36"/>
  <c r="G20" i="37"/>
  <c r="G27" i="34"/>
  <c r="I19" i="30"/>
  <c r="J34" i="38"/>
  <c r="G16" i="35"/>
  <c r="G10" i="37"/>
  <c r="H46" i="32"/>
  <c r="G46" i="32"/>
  <c r="G35" i="37"/>
  <c r="G20" i="35"/>
  <c r="G16" i="34"/>
  <c r="G10" i="34"/>
  <c r="G6" i="37"/>
  <c r="I17" i="33"/>
  <c r="G21" i="34"/>
  <c r="I9" i="32"/>
  <c r="G40" i="34"/>
  <c r="G21" i="37"/>
  <c r="G9" i="37"/>
  <c r="G10" i="36"/>
  <c r="I36" i="32"/>
  <c r="I43" i="32"/>
  <c r="I31" i="32"/>
  <c r="I45" i="32"/>
  <c r="I41" i="32"/>
  <c r="I22" i="32"/>
  <c r="I26" i="32"/>
  <c r="I33" i="32"/>
  <c r="I39" i="32"/>
  <c r="I29" i="32"/>
  <c r="I30" i="32"/>
  <c r="I28" i="32"/>
  <c r="I25" i="32"/>
  <c r="G26" i="34"/>
  <c r="G34" i="34"/>
  <c r="G28" i="34"/>
  <c r="G41" i="34"/>
  <c r="G18" i="34"/>
  <c r="G36" i="34"/>
  <c r="G39" i="34"/>
  <c r="G38" i="34"/>
  <c r="G31" i="34"/>
  <c r="G20" i="34"/>
  <c r="G5" i="34"/>
  <c r="G37" i="34"/>
  <c r="G35" i="34"/>
  <c r="G32" i="34"/>
  <c r="G30" i="34"/>
  <c r="G23" i="34"/>
  <c r="G14" i="35"/>
  <c r="G17" i="35"/>
  <c r="G26" i="35"/>
  <c r="G30" i="35"/>
  <c r="G23" i="35"/>
  <c r="G13" i="35"/>
  <c r="G21" i="35"/>
  <c r="G22" i="35"/>
  <c r="G27" i="35"/>
  <c r="G42" i="37"/>
  <c r="G32" i="37"/>
  <c r="G41" i="37"/>
  <c r="G12" i="37"/>
  <c r="G30" i="37"/>
  <c r="G39" i="37"/>
  <c r="G37" i="37"/>
  <c r="G31" i="37"/>
  <c r="G40" i="37"/>
  <c r="G34" i="37"/>
  <c r="G25" i="37"/>
  <c r="G38" i="37"/>
  <c r="G26" i="37"/>
  <c r="G27" i="37"/>
  <c r="G36" i="37"/>
  <c r="I25" i="33"/>
  <c r="I36" i="33"/>
  <c r="I24" i="33"/>
  <c r="I33" i="33"/>
  <c r="I42" i="33"/>
  <c r="I29" i="33"/>
  <c r="I26" i="33"/>
  <c r="I31" i="33"/>
  <c r="I34" i="33"/>
  <c r="I38" i="33"/>
  <c r="I32" i="33"/>
  <c r="I20" i="33"/>
  <c r="I37" i="33"/>
  <c r="I13" i="33"/>
  <c r="I35" i="33"/>
  <c r="G25" i="36"/>
  <c r="G39" i="36"/>
  <c r="G28" i="36"/>
  <c r="G33" i="36"/>
  <c r="G37" i="36"/>
  <c r="G36" i="36"/>
  <c r="G23" i="36"/>
  <c r="G22" i="36"/>
  <c r="G38" i="36"/>
  <c r="G16" i="36"/>
  <c r="G29" i="36"/>
  <c r="G6" i="36"/>
  <c r="G26" i="36"/>
  <c r="G30" i="36"/>
  <c r="G34" i="36"/>
  <c r="G19" i="36"/>
  <c r="G14" i="36"/>
  <c r="G15" i="36"/>
  <c r="G8" i="36"/>
  <c r="I40" i="32"/>
  <c r="I18" i="32"/>
  <c r="I21" i="32"/>
  <c r="I44" i="32"/>
  <c r="I38" i="32"/>
  <c r="I27" i="32"/>
  <c r="I20" i="32"/>
  <c r="I34" i="32"/>
  <c r="I17" i="32"/>
  <c r="I23" i="32"/>
  <c r="I24" i="32"/>
  <c r="I35" i="32"/>
  <c r="I19" i="32"/>
  <c r="I16" i="32"/>
  <c r="I7" i="32"/>
  <c r="I32" i="32"/>
  <c r="I14" i="32"/>
  <c r="I15" i="32"/>
  <c r="I12" i="32"/>
  <c r="I42" i="32"/>
  <c r="I11" i="32"/>
  <c r="I10" i="32"/>
  <c r="I8" i="32"/>
  <c r="I13" i="32"/>
  <c r="I4" i="32"/>
  <c r="I6" i="32"/>
  <c r="I5" i="32"/>
  <c r="I23" i="33"/>
  <c r="I27" i="33"/>
  <c r="I18" i="33"/>
  <c r="I12" i="33"/>
  <c r="I28" i="33"/>
  <c r="I40" i="33"/>
  <c r="I39" i="33"/>
  <c r="I16" i="33"/>
  <c r="I22" i="33"/>
  <c r="I41" i="33"/>
  <c r="I30" i="33"/>
  <c r="I19" i="33"/>
  <c r="I15" i="33"/>
  <c r="I14" i="33"/>
  <c r="I21" i="33"/>
  <c r="I11" i="33"/>
  <c r="I10" i="33"/>
  <c r="I9" i="33"/>
  <c r="I8" i="33"/>
  <c r="I7" i="33"/>
  <c r="I6" i="33"/>
  <c r="I5" i="33"/>
  <c r="H43" i="33"/>
  <c r="G43" i="33"/>
  <c r="G17" i="34"/>
  <c r="G15" i="34"/>
  <c r="G19" i="34"/>
  <c r="G29" i="34"/>
  <c r="G12" i="34"/>
  <c r="G25" i="34"/>
  <c r="G13" i="34"/>
  <c r="G24" i="34"/>
  <c r="G14" i="34"/>
  <c r="G33" i="34"/>
  <c r="G9" i="34"/>
  <c r="G8" i="34"/>
  <c r="G11" i="34"/>
  <c r="G7" i="34"/>
  <c r="G4" i="34"/>
  <c r="G6" i="34"/>
  <c r="G22" i="34"/>
  <c r="G19" i="35"/>
  <c r="G29" i="35"/>
  <c r="G12" i="35"/>
  <c r="G35" i="35" s="1"/>
  <c r="G10" i="35"/>
  <c r="G18" i="35"/>
  <c r="G15" i="35"/>
  <c r="G28" i="35"/>
  <c r="G11" i="35"/>
  <c r="G8" i="35"/>
  <c r="G7" i="35"/>
  <c r="G3" i="35"/>
  <c r="G6" i="35"/>
  <c r="G9" i="35"/>
  <c r="G5" i="35"/>
  <c r="G4" i="35"/>
  <c r="G7" i="36"/>
  <c r="G13" i="36"/>
  <c r="G21" i="36"/>
  <c r="G35" i="36"/>
  <c r="G11" i="36"/>
  <c r="G31" i="36"/>
  <c r="G27" i="36"/>
  <c r="G9" i="36"/>
  <c r="G5" i="36"/>
  <c r="G17" i="36"/>
  <c r="G12" i="36"/>
  <c r="G18" i="36"/>
  <c r="G32" i="36"/>
  <c r="G4" i="36"/>
  <c r="G2" i="36"/>
  <c r="G3" i="36"/>
  <c r="E40" i="36"/>
  <c r="G7" i="37"/>
  <c r="G28" i="37"/>
  <c r="G5" i="37"/>
  <c r="G33" i="37"/>
  <c r="G14" i="37"/>
  <c r="G11" i="37"/>
  <c r="G8" i="37"/>
  <c r="G4" i="37"/>
  <c r="G13" i="37"/>
  <c r="G15" i="37"/>
  <c r="G3" i="37"/>
  <c r="F40" i="36"/>
  <c r="H3" i="26"/>
  <c r="H12" i="26"/>
  <c r="F40" i="26"/>
  <c r="G40" i="26"/>
  <c r="I37" i="30"/>
  <c r="I17" i="30"/>
  <c r="I25" i="31"/>
  <c r="I21" i="31"/>
  <c r="G46" i="31"/>
  <c r="G42" i="30"/>
  <c r="H42" i="30"/>
  <c r="I21" i="30"/>
  <c r="I3" i="30"/>
  <c r="I4" i="30"/>
  <c r="I7" i="30"/>
  <c r="I8" i="30"/>
  <c r="I9" i="30"/>
  <c r="I10" i="30"/>
  <c r="I11" i="30"/>
  <c r="I13" i="30"/>
  <c r="I12" i="30"/>
  <c r="I14" i="30"/>
  <c r="I15" i="30"/>
  <c r="I30" i="30"/>
  <c r="I25" i="30"/>
  <c r="I31" i="30"/>
  <c r="I16" i="30"/>
  <c r="I28" i="30"/>
  <c r="I24" i="30"/>
  <c r="I18" i="30"/>
  <c r="I23" i="30"/>
  <c r="I5" i="30"/>
  <c r="I29" i="30"/>
  <c r="I27" i="30"/>
  <c r="I32" i="30"/>
  <c r="I39" i="30"/>
  <c r="I36" i="30"/>
  <c r="I26" i="30"/>
  <c r="I38" i="30"/>
  <c r="I22" i="30"/>
  <c r="I40" i="30"/>
  <c r="I35" i="30"/>
  <c r="I41" i="30"/>
  <c r="I6" i="30"/>
  <c r="I34" i="30"/>
  <c r="I20" i="30"/>
  <c r="I20" i="31"/>
  <c r="I7" i="31"/>
  <c r="I6" i="31"/>
  <c r="I39" i="31"/>
  <c r="H13" i="28"/>
  <c r="H16" i="28"/>
  <c r="H29" i="28"/>
  <c r="H18" i="27"/>
  <c r="H32" i="28"/>
  <c r="H34" i="27"/>
  <c r="H12" i="27"/>
  <c r="H35" i="27"/>
  <c r="H31" i="27"/>
  <c r="H24" i="28"/>
  <c r="I18" i="31"/>
  <c r="G44" i="37" l="1"/>
  <c r="G46" i="34"/>
  <c r="I46" i="32"/>
  <c r="I43" i="33"/>
  <c r="G40" i="36"/>
  <c r="I42" i="30"/>
  <c r="I36" i="31"/>
  <c r="I42" i="31"/>
  <c r="H9" i="27"/>
  <c r="I32" i="31"/>
  <c r="I5" i="31"/>
  <c r="I40" i="31"/>
  <c r="I38" i="31"/>
  <c r="I3" i="31"/>
  <c r="I4" i="31"/>
  <c r="I29" i="31"/>
  <c r="I8" i="31"/>
  <c r="I16" i="31"/>
  <c r="I9" i="31"/>
  <c r="I10" i="31"/>
  <c r="I11" i="31"/>
  <c r="I12" i="31"/>
  <c r="I22" i="31"/>
  <c r="I26" i="31"/>
  <c r="I13" i="31"/>
  <c r="I24" i="31"/>
  <c r="I14" i="31"/>
  <c r="I37" i="31"/>
  <c r="I15" i="31"/>
  <c r="I28" i="31"/>
  <c r="I31" i="31"/>
  <c r="I35" i="31"/>
  <c r="I45" i="31"/>
  <c r="I17" i="31"/>
  <c r="I43" i="31"/>
  <c r="I33" i="31"/>
  <c r="I23" i="31"/>
  <c r="I34" i="31"/>
  <c r="I30" i="31"/>
  <c r="I19" i="31"/>
  <c r="I41" i="31"/>
  <c r="I27" i="31"/>
  <c r="I44" i="31"/>
  <c r="H27" i="27"/>
  <c r="H46" i="31"/>
  <c r="H26" i="28"/>
  <c r="H40" i="23"/>
  <c r="F36" i="27"/>
  <c r="G36" i="27"/>
  <c r="H25" i="28"/>
  <c r="H3" i="27"/>
  <c r="F34" i="28"/>
  <c r="G34" i="28"/>
  <c r="H10" i="27"/>
  <c r="H4" i="27"/>
  <c r="H11" i="27"/>
  <c r="H13" i="27"/>
  <c r="H19" i="27"/>
  <c r="H8" i="27"/>
  <c r="H5" i="27"/>
  <c r="H6" i="27"/>
  <c r="H14" i="27"/>
  <c r="H26" i="27"/>
  <c r="H32" i="27"/>
  <c r="H7" i="27"/>
  <c r="H21" i="27"/>
  <c r="H20" i="27"/>
  <c r="H15" i="27"/>
  <c r="H29" i="27"/>
  <c r="H28" i="27"/>
  <c r="H25" i="27"/>
  <c r="H23" i="27"/>
  <c r="H17" i="27"/>
  <c r="H16" i="27"/>
  <c r="H33" i="27"/>
  <c r="H24" i="27"/>
  <c r="H30" i="27"/>
  <c r="H3" i="28"/>
  <c r="H8" i="28"/>
  <c r="H11" i="28"/>
  <c r="H23" i="28"/>
  <c r="H12" i="28"/>
  <c r="H20" i="28"/>
  <c r="H15" i="28"/>
  <c r="H10" i="28"/>
  <c r="H4" i="28"/>
  <c r="H5" i="28"/>
  <c r="H6" i="28"/>
  <c r="H33" i="28"/>
  <c r="H30" i="28"/>
  <c r="H7" i="28"/>
  <c r="H21" i="28"/>
  <c r="H18" i="28"/>
  <c r="H9" i="28"/>
  <c r="H17" i="28"/>
  <c r="H22" i="28"/>
  <c r="H14" i="28"/>
  <c r="H28" i="28"/>
  <c r="H19" i="28"/>
  <c r="H27" i="28"/>
  <c r="H31" i="28"/>
  <c r="H45" i="29"/>
  <c r="H39" i="29"/>
  <c r="H41" i="29"/>
  <c r="H47" i="29"/>
  <c r="H16" i="23"/>
  <c r="H42" i="29"/>
  <c r="H17" i="23"/>
  <c r="F43" i="23"/>
  <c r="H34" i="26"/>
  <c r="H20" i="26"/>
  <c r="H38" i="26"/>
  <c r="H36" i="26"/>
  <c r="H29" i="26"/>
  <c r="H22" i="26"/>
  <c r="H26" i="26"/>
  <c r="H5" i="26"/>
  <c r="H7" i="26"/>
  <c r="H11" i="26"/>
  <c r="H10" i="26"/>
  <c r="H8" i="26"/>
  <c r="H4" i="26"/>
  <c r="H42" i="23"/>
  <c r="H36" i="23"/>
  <c r="H23" i="23"/>
  <c r="H29" i="23"/>
  <c r="H35" i="23"/>
  <c r="H18" i="23"/>
  <c r="H37" i="23"/>
  <c r="H24" i="23"/>
  <c r="H19" i="23"/>
  <c r="H10" i="23"/>
  <c r="H28" i="23"/>
  <c r="H8" i="23"/>
  <c r="H31" i="23"/>
  <c r="H20" i="23"/>
  <c r="H34" i="23"/>
  <c r="H6" i="23"/>
  <c r="H25" i="23"/>
  <c r="H5" i="23"/>
  <c r="H20" i="19"/>
  <c r="H52" i="19"/>
  <c r="H23" i="19"/>
  <c r="H33" i="19"/>
  <c r="H51" i="19"/>
  <c r="H50" i="19"/>
  <c r="H43" i="19"/>
  <c r="H49" i="19"/>
  <c r="H29" i="19"/>
  <c r="H36" i="19"/>
  <c r="H48" i="19"/>
  <c r="H42" i="19"/>
  <c r="H45" i="19"/>
  <c r="H19" i="19"/>
  <c r="H39" i="19"/>
  <c r="H24" i="19"/>
  <c r="H15" i="19"/>
  <c r="H12" i="19"/>
  <c r="H11" i="19"/>
  <c r="H14" i="19"/>
  <c r="G54" i="19"/>
  <c r="F54" i="19"/>
  <c r="F53" i="29"/>
  <c r="H3" i="29"/>
  <c r="H52" i="29"/>
  <c r="H50" i="29"/>
  <c r="H22" i="29"/>
  <c r="H35" i="29"/>
  <c r="H32" i="29"/>
  <c r="H25" i="29"/>
  <c r="H23" i="29"/>
  <c r="H51" i="29"/>
  <c r="H38" i="29"/>
  <c r="H46" i="29"/>
  <c r="H26" i="29"/>
  <c r="H30" i="29"/>
  <c r="H33" i="29"/>
  <c r="H43" i="29"/>
  <c r="H16" i="29"/>
  <c r="H40" i="29"/>
  <c r="H18" i="29"/>
  <c r="H17" i="29"/>
  <c r="H29" i="29"/>
  <c r="H28" i="29"/>
  <c r="H15" i="29"/>
  <c r="H20" i="29"/>
  <c r="H14" i="29"/>
  <c r="H24" i="29"/>
  <c r="H44" i="29"/>
  <c r="H12" i="29"/>
  <c r="H11" i="29"/>
  <c r="H19" i="29"/>
  <c r="H31" i="29"/>
  <c r="H21" i="29"/>
  <c r="H10" i="29"/>
  <c r="H27" i="29"/>
  <c r="H13" i="29"/>
  <c r="H36" i="29"/>
  <c r="H9" i="29"/>
  <c r="H8" i="29"/>
  <c r="H6" i="29"/>
  <c r="H7" i="29"/>
  <c r="H5" i="29"/>
  <c r="H4" i="29"/>
  <c r="G53" i="29"/>
  <c r="J4" i="15"/>
  <c r="J5" i="15"/>
  <c r="J8" i="15"/>
  <c r="J20" i="15"/>
  <c r="J7" i="15"/>
  <c r="J11" i="15"/>
  <c r="J12" i="15"/>
  <c r="J14" i="15"/>
  <c r="J17" i="15"/>
  <c r="H39" i="15"/>
  <c r="I39" i="15"/>
  <c r="J3" i="16"/>
  <c r="J4" i="16"/>
  <c r="J5" i="16"/>
  <c r="J6" i="16"/>
  <c r="J28" i="16"/>
  <c r="J9" i="16"/>
  <c r="J10" i="16"/>
  <c r="J11" i="16"/>
  <c r="J12" i="16"/>
  <c r="J25" i="16"/>
  <c r="J18" i="16"/>
  <c r="J19" i="16"/>
  <c r="J30" i="16"/>
  <c r="J33" i="16"/>
  <c r="H38" i="16"/>
  <c r="I38" i="16"/>
  <c r="H3" i="19"/>
  <c r="I46" i="31" l="1"/>
  <c r="H34" i="28"/>
  <c r="J38" i="16"/>
  <c r="H53" i="29"/>
  <c r="J39" i="15"/>
  <c r="H41" i="23"/>
  <c r="H9" i="19" l="1"/>
  <c r="H16" i="26" l="1"/>
  <c r="H19" i="26"/>
  <c r="H35" i="26"/>
  <c r="H31" i="26"/>
  <c r="H14" i="26"/>
  <c r="H32" i="26"/>
  <c r="H9" i="26"/>
  <c r="H18" i="26"/>
  <c r="H23" i="26"/>
  <c r="H37" i="26"/>
  <c r="H6" i="26"/>
  <c r="H8" i="19" l="1"/>
  <c r="H12" i="23" l="1"/>
  <c r="H22" i="23"/>
  <c r="H38" i="23"/>
  <c r="H7" i="23"/>
  <c r="H3" i="23"/>
  <c r="H4" i="23"/>
  <c r="H30" i="23"/>
  <c r="H21" i="23"/>
  <c r="H7" i="19"/>
  <c r="H22" i="19"/>
  <c r="H5" i="19"/>
  <c r="H32" i="19"/>
  <c r="H13" i="19"/>
  <c r="H38" i="19"/>
  <c r="H34" i="19"/>
  <c r="H16" i="19"/>
  <c r="H37" i="19"/>
  <c r="H46" i="19"/>
  <c r="H47" i="19"/>
  <c r="H27" i="19"/>
  <c r="H40" i="19"/>
  <c r="H41" i="19"/>
  <c r="H35" i="19"/>
  <c r="H30" i="19"/>
  <c r="H18" i="19"/>
  <c r="H26" i="19"/>
  <c r="H4" i="19"/>
  <c r="H6" i="19"/>
  <c r="H10" i="19"/>
  <c r="H28" i="19"/>
  <c r="G37" i="25"/>
  <c r="H43" i="23" l="1"/>
  <c r="H54" i="19"/>
  <c r="G43" i="23"/>
  <c r="G30" i="12" l="1"/>
  <c r="I30" i="14" l="1"/>
  <c r="H30" i="14"/>
  <c r="J30" i="14"/>
  <c r="J41" i="13" l="1"/>
  <c r="H41" i="13"/>
  <c r="G31" i="11"/>
</calcChain>
</file>

<file path=xl/sharedStrings.xml><?xml version="1.0" encoding="utf-8"?>
<sst xmlns="http://schemas.openxmlformats.org/spreadsheetml/2006/main" count="1892" uniqueCount="1052">
  <si>
    <t>B</t>
  </si>
  <si>
    <t>C</t>
  </si>
  <si>
    <t xml:space="preserve"> </t>
  </si>
  <si>
    <t>EMMANUEL KIBET</t>
  </si>
  <si>
    <t>ARREARS</t>
  </si>
  <si>
    <t>PETER WANJALA</t>
  </si>
  <si>
    <t>BARASA</t>
  </si>
  <si>
    <t>NAME</t>
  </si>
  <si>
    <t>DENNIS MARUTI</t>
  </si>
  <si>
    <t>BRIAN NAKIMESI</t>
  </si>
  <si>
    <t>COLLINS KIBOMA</t>
  </si>
  <si>
    <t>AKAN W SIMIYU</t>
  </si>
  <si>
    <t>DAVISON M WANYINYI</t>
  </si>
  <si>
    <t>HILLARY MATONYI</t>
  </si>
  <si>
    <t>EMMANUEL J WANJALA</t>
  </si>
  <si>
    <t>ELIAS KIPSAT</t>
  </si>
  <si>
    <t>KELVIN MASOLO</t>
  </si>
  <si>
    <t>COLLINS WANJALA WAMBAYA</t>
  </si>
  <si>
    <t>SAMWEL MBAYA</t>
  </si>
  <si>
    <t>CHRISPINUS CHEMIAT</t>
  </si>
  <si>
    <t>EVANS WANYAMA</t>
  </si>
  <si>
    <t>EDWIN MUNGWANA</t>
  </si>
  <si>
    <t>STEPHENE MBANGA</t>
  </si>
  <si>
    <t>BONFACE NAIBEI</t>
  </si>
  <si>
    <t>FELIX SIMIYU</t>
  </si>
  <si>
    <t>KELVIN WAKUTI JUMA</t>
  </si>
  <si>
    <t>AUGASTINE MALISHA</t>
  </si>
  <si>
    <t>FREDRICK M WANYONYI</t>
  </si>
  <si>
    <t>TIMOTH MULONGO</t>
  </si>
  <si>
    <t>ONESMUS WASIKE</t>
  </si>
  <si>
    <t>DANIEL SANGUNA</t>
  </si>
  <si>
    <t>DAVID WANJALA</t>
  </si>
  <si>
    <t>REAGAN WANJALA NYONGESA</t>
  </si>
  <si>
    <t>HASSAN KAPCHANGA TEMOI</t>
  </si>
  <si>
    <t>MOSES KIBET</t>
  </si>
  <si>
    <t>LEWIS WANYAMA BARASA</t>
  </si>
  <si>
    <t>BRIAN WAFULA WANJALA</t>
  </si>
  <si>
    <t>LEVY WAFULA WAFWANA</t>
  </si>
  <si>
    <t>IGNATIUS JUMA</t>
  </si>
  <si>
    <t>MESHACK NYARANGA CHESEBE</t>
  </si>
  <si>
    <t>AMBROSE BAHATI KIPSANG</t>
  </si>
  <si>
    <t>COSMAS WANYONYI WEKESA</t>
  </si>
  <si>
    <t>AUSTINE SOITA WANGILA</t>
  </si>
  <si>
    <t>BROWN MURUNGA MWALO</t>
  </si>
  <si>
    <t>KEVIN KIRUI KIBET</t>
  </si>
  <si>
    <t>EDWIN NYONGESA SIMIYU</t>
  </si>
  <si>
    <t>HARRISON WANJALA WANDERA</t>
  </si>
  <si>
    <t>ALLAN WANYONYI</t>
  </si>
  <si>
    <t>SILAS W KHAMALA</t>
  </si>
  <si>
    <t>ABRAHAM N JUMA</t>
  </si>
  <si>
    <t>AMOS</t>
  </si>
  <si>
    <t>DICKSON NAIBEI KIBET</t>
  </si>
  <si>
    <t>ADM NO.</t>
  </si>
  <si>
    <t>SAMWEL JUMA MASAI</t>
  </si>
  <si>
    <t>MOSES KWEMOI JOSPAR</t>
  </si>
  <si>
    <t>KELVIN KIBET MAKATA</t>
  </si>
  <si>
    <t>RODGERS WAFULA WANYONYI</t>
  </si>
  <si>
    <t>TOTAL</t>
  </si>
  <si>
    <t>BRIAN SIMIYU WEKESA Y</t>
  </si>
  <si>
    <t>EDWIN KIPYEGO NDIEMA</t>
  </si>
  <si>
    <t>DAVIS WANYONYI NYONGESA</t>
  </si>
  <si>
    <t>RAYMOND SILALI NAKHABALA</t>
  </si>
  <si>
    <t>ADM. NO</t>
  </si>
  <si>
    <t>MICHAEL WAMANYENGO</t>
  </si>
  <si>
    <t>BRIAN MUSAMALI KHAEMBA</t>
  </si>
  <si>
    <t xml:space="preserve">     NAMES                                                                       </t>
  </si>
  <si>
    <t>KEVIN SIKUKU CHEMWEI</t>
  </si>
  <si>
    <t>ELIYA KIRUI BOIYO</t>
  </si>
  <si>
    <t>BONFACE CHEMOSI KIPYEGO</t>
  </si>
  <si>
    <t>DOMINIC KIPLIMO SEWAY</t>
  </si>
  <si>
    <t>CETRICK MASIBO WAFULA</t>
  </si>
  <si>
    <t>ABRAHAM WAMALWA MATERE</t>
  </si>
  <si>
    <t>OWEN BARASA CHEPTECH</t>
  </si>
  <si>
    <t>ISAAC CHESUMBET KIPSANG</t>
  </si>
  <si>
    <t>MESHACK NALIANYA</t>
  </si>
  <si>
    <t>BARASA MAKHANU ERICK</t>
  </si>
  <si>
    <t>GILBERT KISEMBE CHEMIAT</t>
  </si>
  <si>
    <t>KIBET MUSA</t>
  </si>
  <si>
    <t>ERICKSON KIPSANG MASAI</t>
  </si>
  <si>
    <t>CONSTANCE KUNUSIA MASUNGO</t>
  </si>
  <si>
    <t>JAMES MAKHANU WEKESA</t>
  </si>
  <si>
    <t>PETER MARUTI WAFULA</t>
  </si>
  <si>
    <t>JANUARIES MUCHUMA M</t>
  </si>
  <si>
    <t xml:space="preserve">BENJAMIN NYONGESA WANJALA   C     </t>
  </si>
  <si>
    <t>PHOBIAN KIPROP CHEMININGWA</t>
  </si>
  <si>
    <t xml:space="preserve">DENNIS ROTICH KIBET </t>
  </si>
  <si>
    <t>TITUS NAMASAKE WAFWENDE</t>
  </si>
  <si>
    <t>ALEX WANJALA CHEMININGWA</t>
  </si>
  <si>
    <t>JUSTUS NAMUNANE WANJALA</t>
  </si>
  <si>
    <t>WINSLOUSE WANYONYI WEKESA</t>
  </si>
  <si>
    <t>DENNIS WATAKA WAMALWA</t>
  </si>
  <si>
    <t>RODGERS WEKESA WAFULA</t>
  </si>
  <si>
    <t>HARON WEKESA WAFULA</t>
  </si>
  <si>
    <t>WILLY KANGWA WAMAYUYI</t>
  </si>
  <si>
    <t>NASHON JUMA</t>
  </si>
  <si>
    <t>SILAS KAMOETI KAPCHANGA</t>
  </si>
  <si>
    <t>ERICK KEMEI MASAI</t>
  </si>
  <si>
    <t>ZACHARIAH MAKHANU WEKESA</t>
  </si>
  <si>
    <t>KELVIN MSEE KWEMOI</t>
  </si>
  <si>
    <t>DERRICK SIKUKU W</t>
  </si>
  <si>
    <t>EDMOND WAFULA SIMIYU</t>
  </si>
  <si>
    <t>JOEL WAFULA W</t>
  </si>
  <si>
    <t>JOSEPH WAFULA WAMALWA</t>
  </si>
  <si>
    <t>DENNIS S WAKHUNGU</t>
  </si>
  <si>
    <t xml:space="preserve">OLIVER W WAKHUNGU </t>
  </si>
  <si>
    <t>TYSON W WEKESA</t>
  </si>
  <si>
    <t>OLIVER WEKESA WANJALA</t>
  </si>
  <si>
    <t>KELVIN M KIBET</t>
  </si>
  <si>
    <t>DOMIANO WANGILA</t>
  </si>
  <si>
    <t xml:space="preserve"> MOSES   WEBURA</t>
  </si>
  <si>
    <t>SAMMY KIBET BARACH</t>
  </si>
  <si>
    <t xml:space="preserve"> AMOS KIRUI KWEMOI</t>
  </si>
  <si>
    <t xml:space="preserve"> KENNEDY NAMITI</t>
  </si>
  <si>
    <t>T/FEES</t>
  </si>
  <si>
    <t>C/FEES</t>
  </si>
  <si>
    <t>HIPSA WEKHWELA</t>
  </si>
  <si>
    <t>NAMES</t>
  </si>
  <si>
    <t>ADM.NO.</t>
  </si>
  <si>
    <t>ELVIS  CHESUNET SIMIYU</t>
  </si>
  <si>
    <t>EDWIN MUTORO CHELOBI</t>
  </si>
  <si>
    <t>SAMMY HAMISI WANJALA</t>
  </si>
  <si>
    <t>JOHN  MULAMA  MAKOKHA</t>
  </si>
  <si>
    <t>ZAKAYO  MANYASI</t>
  </si>
  <si>
    <t>M WANYONYI</t>
  </si>
  <si>
    <t>WILLIAM KUNDU BUSURU</t>
  </si>
  <si>
    <t>GILBERT MABONGA</t>
  </si>
  <si>
    <t>MICHAEL SIMIYU</t>
  </si>
  <si>
    <t>JOEL JUMA KWEMOI</t>
  </si>
  <si>
    <t>ANDREW KITUYI</t>
  </si>
  <si>
    <t>ANTHONY WAKOLI</t>
  </si>
  <si>
    <t>BONFACE K. NAMITI</t>
  </si>
  <si>
    <t>DAUGLAS BARASA MUNYOLE</t>
  </si>
  <si>
    <t>ISAAC WANJALA WEKESA</t>
  </si>
  <si>
    <t>PROTUS MASAI</t>
  </si>
  <si>
    <t>SEKERO COSMAS KIPLANG'AT</t>
  </si>
  <si>
    <t>KIBOI KIRENTA SAKONG</t>
  </si>
  <si>
    <t>COLLINS WANJALA WALEKHWA</t>
  </si>
  <si>
    <t>DAN KWEMOI CHEPSLOT</t>
  </si>
  <si>
    <t>DANCUN WAMALWA</t>
  </si>
  <si>
    <t>ERICK WANJALA</t>
  </si>
  <si>
    <t>ROBIN CHENGE</t>
  </si>
  <si>
    <t>DAUGLAS  W. WANJALA</t>
  </si>
  <si>
    <t>DAVID  WEKESA</t>
  </si>
  <si>
    <t>AINEAH MARUTI MAKOKHA</t>
  </si>
  <si>
    <t>NOAH WAFULA</t>
  </si>
  <si>
    <t>ELIUD TUNG'WET</t>
  </si>
  <si>
    <t>LEWIS MABUSI</t>
  </si>
  <si>
    <t>LEVY KIPKORIR CHELUK</t>
  </si>
  <si>
    <t>VITALIS SINOKHO</t>
  </si>
  <si>
    <t>VICTOR WANAMBUKO</t>
  </si>
  <si>
    <t>JOSHUA KIMTAI</t>
  </si>
  <si>
    <t>BRAMWEL W. MUSUNDI</t>
  </si>
  <si>
    <t>TOM KITUYI</t>
  </si>
  <si>
    <t>COLLINS KANOTI</t>
  </si>
  <si>
    <t>EDWIN JUMA WALUMBE</t>
  </si>
  <si>
    <t xml:space="preserve">    </t>
  </si>
  <si>
    <t>LEVY WALUKANO</t>
  </si>
  <si>
    <t>KEVIN WACHEMBA MASIBO</t>
  </si>
  <si>
    <t>FELIX MASOLO</t>
  </si>
  <si>
    <t>ISAAC K.WANAMBISI</t>
  </si>
  <si>
    <t>JACOB KISUYA</t>
  </si>
  <si>
    <t xml:space="preserve">                    </t>
  </si>
  <si>
    <t>FORM FOUR Y FEES BALANCES AS AT 20TH OCTOBER 2017</t>
  </si>
  <si>
    <t xml:space="preserve">                    FORM FOUR X FEES BALANCES AS AT 20TH OCTOBER 2017</t>
  </si>
  <si>
    <t>`0</t>
  </si>
  <si>
    <t>TITUS  KIPSANG</t>
  </si>
  <si>
    <t>REMMY SEKERO</t>
  </si>
  <si>
    <t>BRIAN MATALA</t>
  </si>
  <si>
    <t>EDMOND SIMIYU</t>
  </si>
  <si>
    <t>JOSEPH WAFULA</t>
  </si>
  <si>
    <t>MICAH NABISWA WAKARI</t>
  </si>
  <si>
    <t>JAMES OMUSULA</t>
  </si>
  <si>
    <t>MICAH KIMTAI</t>
  </si>
  <si>
    <t>DAUGLAS BARASA</t>
  </si>
  <si>
    <t>WANJALA</t>
  </si>
  <si>
    <t>OLIVER W. WEKESA</t>
  </si>
  <si>
    <t>BROWN MWALO</t>
  </si>
  <si>
    <t>ISAAC K. TOWET</t>
  </si>
  <si>
    <t>SAMWEL  WANJALA</t>
  </si>
  <si>
    <t>CHRISPUS MURUNGA</t>
  </si>
  <si>
    <t>ANDREW</t>
  </si>
  <si>
    <t>NAIBEI</t>
  </si>
  <si>
    <t>BRIAN       NGUTUKU</t>
  </si>
  <si>
    <t>WAFULA</t>
  </si>
  <si>
    <t>CALEB</t>
  </si>
  <si>
    <t>OSIKUKU</t>
  </si>
  <si>
    <t>ALLAN</t>
  </si>
  <si>
    <t>BENARD   WAFULA</t>
  </si>
  <si>
    <t xml:space="preserve">STANELY SINOKHO  </t>
  </si>
  <si>
    <t>COLLINS</t>
  </si>
  <si>
    <t>EDWIN KWEMOI</t>
  </si>
  <si>
    <t>EDIVINE</t>
  </si>
  <si>
    <t>KIPLIMO</t>
  </si>
  <si>
    <t>SAMMY</t>
  </si>
  <si>
    <t>HEZRON  NAMASAKE</t>
  </si>
  <si>
    <t>DANIEL</t>
  </si>
  <si>
    <t>NALUVIMBI</t>
  </si>
  <si>
    <t>KEVIN       WANAMBUKO</t>
  </si>
  <si>
    <t>ALEX       W.WEKESA</t>
  </si>
  <si>
    <t>WEKESA</t>
  </si>
  <si>
    <t xml:space="preserve">MIKE     </t>
  </si>
  <si>
    <t>NYONGESA</t>
  </si>
  <si>
    <t>SIMON</t>
  </si>
  <si>
    <t>ELVIS</t>
  </si>
  <si>
    <t>SITATI</t>
  </si>
  <si>
    <t>MESHACK</t>
  </si>
  <si>
    <t>ROBINSON  WALUCHO</t>
  </si>
  <si>
    <t>WAMALWA</t>
  </si>
  <si>
    <t>DANIEL     KHATETE</t>
  </si>
  <si>
    <t>LAZARUS   SITATI</t>
  </si>
  <si>
    <t>HILLARY    WEKESA</t>
  </si>
  <si>
    <t xml:space="preserve">DAN          </t>
  </si>
  <si>
    <t>JUMA</t>
  </si>
  <si>
    <t>NEWTON</t>
  </si>
  <si>
    <t>OLIVER</t>
  </si>
  <si>
    <t>ROTICH</t>
  </si>
  <si>
    <t>DOMINIC</t>
  </si>
  <si>
    <t>KWEMOI</t>
  </si>
  <si>
    <t>SIMON       NAKINAI</t>
  </si>
  <si>
    <t>STEPHEN   WANYONYI</t>
  </si>
  <si>
    <t>JOEL WENI WAFULA</t>
  </si>
  <si>
    <t>AUGASTINE M. NAMUNGUBA</t>
  </si>
  <si>
    <t>DAVID WEKESA WANJALA</t>
  </si>
  <si>
    <t>SAMMY BARACH</t>
  </si>
  <si>
    <t>MAXWELL SIMIYU</t>
  </si>
  <si>
    <t>DENNIS WAKHUNGU</t>
  </si>
  <si>
    <t>DENISE WOTIA</t>
  </si>
  <si>
    <t>JOSEPH W. SIMIYU</t>
  </si>
  <si>
    <t>KELVIN    KUNDU</t>
  </si>
  <si>
    <t>MASINDE</t>
  </si>
  <si>
    <t>BRIAN  KIPSANG</t>
  </si>
  <si>
    <t>EVANS S. WANJALA</t>
  </si>
  <si>
    <t>CORNELIUS SANGURA</t>
  </si>
  <si>
    <t xml:space="preserve">  </t>
  </si>
  <si>
    <t>ADMN. NO.</t>
  </si>
  <si>
    <t xml:space="preserve">DERRICK </t>
  </si>
  <si>
    <t xml:space="preserve">ALLAN </t>
  </si>
  <si>
    <t>WATILA</t>
  </si>
  <si>
    <t>VICTOR</t>
  </si>
  <si>
    <t>KELVIN</t>
  </si>
  <si>
    <t xml:space="preserve">TOM </t>
  </si>
  <si>
    <t>SOITA</t>
  </si>
  <si>
    <t>TIMOTHY</t>
  </si>
  <si>
    <t>KIPROTICH</t>
  </si>
  <si>
    <t>WILFRED</t>
  </si>
  <si>
    <t>OMIENO</t>
  </si>
  <si>
    <t xml:space="preserve">SAMWEL </t>
  </si>
  <si>
    <t>KING'ASIA</t>
  </si>
  <si>
    <t>ISAAC</t>
  </si>
  <si>
    <t>TONY</t>
  </si>
  <si>
    <t>MUYONGA</t>
  </si>
  <si>
    <t>EMMANUEL JUMA</t>
  </si>
  <si>
    <t>CHRISOSTINE  KUNDU</t>
  </si>
  <si>
    <t>WANGILA</t>
  </si>
  <si>
    <t>SURAI</t>
  </si>
  <si>
    <t>MUINDI</t>
  </si>
  <si>
    <t>PROTUS</t>
  </si>
  <si>
    <t>SATIA</t>
  </si>
  <si>
    <t xml:space="preserve">ISAAC </t>
  </si>
  <si>
    <t>KIREMBU</t>
  </si>
  <si>
    <t>BRIAN</t>
  </si>
  <si>
    <t>LUKORITO</t>
  </si>
  <si>
    <t xml:space="preserve">KEVIN </t>
  </si>
  <si>
    <t>WANYAMA</t>
  </si>
  <si>
    <t>ROCKLINE</t>
  </si>
  <si>
    <t>SIMIYU</t>
  </si>
  <si>
    <t>SANGUNA</t>
  </si>
  <si>
    <t>PETER</t>
  </si>
  <si>
    <t>KIMTAI</t>
  </si>
  <si>
    <t>FRED WANJALA</t>
  </si>
  <si>
    <t>NYUKURI</t>
  </si>
  <si>
    <t>ABERT</t>
  </si>
  <si>
    <t>ALBERT</t>
  </si>
  <si>
    <t>KASUTI</t>
  </si>
  <si>
    <t>MARUTI</t>
  </si>
  <si>
    <t xml:space="preserve">BEN </t>
  </si>
  <si>
    <t>NALIWA</t>
  </si>
  <si>
    <t>BRAZAN</t>
  </si>
  <si>
    <t xml:space="preserve">                                                 </t>
  </si>
  <si>
    <t xml:space="preserve">                                                                                </t>
  </si>
  <si>
    <t>SILAS  KHAMALA</t>
  </si>
  <si>
    <t>MASIBO</t>
  </si>
  <si>
    <t>ALVIN</t>
  </si>
  <si>
    <t>WYLIBERFORCE MUKHWANA</t>
  </si>
  <si>
    <t>ADM. NO.</t>
  </si>
  <si>
    <t>CLINTON MAKIGE</t>
  </si>
  <si>
    <t>COLLINS WANYONYI</t>
  </si>
  <si>
    <t>ISAAC C. KIBET</t>
  </si>
  <si>
    <t>ISAAC MOCHUMO</t>
  </si>
  <si>
    <t>BRIAN WALUCHO</t>
  </si>
  <si>
    <t>HILLARY NALIANYA</t>
  </si>
  <si>
    <t>FEDNAND SIMIYU</t>
  </si>
  <si>
    <t>COLLINS M. WASIKE</t>
  </si>
  <si>
    <t>ABEL MARUTI</t>
  </si>
  <si>
    <t>NOAH JUMA</t>
  </si>
  <si>
    <t>NATHAN MUNYOLE</t>
  </si>
  <si>
    <t>TIMOTHY WALIAULA</t>
  </si>
  <si>
    <t>ALEX NGUTUKU</t>
  </si>
  <si>
    <t>NEWTON WANGILA</t>
  </si>
  <si>
    <t>NEWTON WALUCHO</t>
  </si>
  <si>
    <t>YONAH RIOMU</t>
  </si>
  <si>
    <t>KEVIN KWEMOI</t>
  </si>
  <si>
    <t>JAMES NDIWA</t>
  </si>
  <si>
    <t>GODWIN MATALA</t>
  </si>
  <si>
    <t>DIPHAS NATULO</t>
  </si>
  <si>
    <t>KEITH WANGILA</t>
  </si>
  <si>
    <t>LEVY WANJALA</t>
  </si>
  <si>
    <t>MESHACK OSIKUKU</t>
  </si>
  <si>
    <t>FELIX NDAMWE</t>
  </si>
  <si>
    <t>CALEB CHESEBE</t>
  </si>
  <si>
    <t>SAVIOUR SIKUKU</t>
  </si>
  <si>
    <t>BENJAMIN W. WEKESA        3688</t>
  </si>
  <si>
    <t>KHAMALA  W.KHISA</t>
  </si>
  <si>
    <t>DAVIS CHEMININGWA         3673</t>
  </si>
  <si>
    <t>ISAAC  MANYONGE</t>
  </si>
  <si>
    <t>ISAIH</t>
  </si>
  <si>
    <t>THOMAS W. MASINDE</t>
  </si>
  <si>
    <t xml:space="preserve">BRIAN </t>
  </si>
  <si>
    <t xml:space="preserve">TITUS         WANJALA          </t>
  </si>
  <si>
    <t>ELPHAS</t>
  </si>
  <si>
    <t>PETER WEKESA</t>
  </si>
  <si>
    <t>SAMWEL WANYONYI</t>
  </si>
  <si>
    <t xml:space="preserve">KELVIN KIBET  </t>
  </si>
  <si>
    <t>RYAN MWALO</t>
  </si>
  <si>
    <t xml:space="preserve"> FORM THREE E FEES BALANCES AS AT 2ND JANUARY 2019   </t>
  </si>
  <si>
    <t>DAN KIPROP</t>
  </si>
  <si>
    <t>SAMMY RONO</t>
  </si>
  <si>
    <t xml:space="preserve">   </t>
  </si>
  <si>
    <t>PAUL KIPROTICH</t>
  </si>
  <si>
    <t>HAWARD W.FWAMBA</t>
  </si>
  <si>
    <t xml:space="preserve">ADM. NO. </t>
  </si>
  <si>
    <t>COLLINS NJUNUKHA</t>
  </si>
  <si>
    <t>AARON  BARASA</t>
  </si>
  <si>
    <t>DANSON NDUGGA</t>
  </si>
  <si>
    <t>NELSON NAMITI</t>
  </si>
  <si>
    <t>EDWIN KIBET</t>
  </si>
  <si>
    <t>OLIVER  KWEMOI</t>
  </si>
  <si>
    <t>NICODEMUS  MASIBO</t>
  </si>
  <si>
    <t>MORGAN  WANGILA</t>
  </si>
  <si>
    <t>KELLAN  MALABA</t>
  </si>
  <si>
    <t>EVANS  MATETE</t>
  </si>
  <si>
    <t>STEPHEN  WAFULA</t>
  </si>
  <si>
    <t>BRIGHT  KIBET</t>
  </si>
  <si>
    <t>ETHEN SIMIYU</t>
  </si>
  <si>
    <t>ERICK KIMTAI</t>
  </si>
  <si>
    <t>ALVIN  WANYONYI</t>
  </si>
  <si>
    <t>ERICK MASAI</t>
  </si>
  <si>
    <t>ALLAN KWEMOI</t>
  </si>
  <si>
    <t>DAVID SIKUKU</t>
  </si>
  <si>
    <t>BENDLY  SIMOTWO</t>
  </si>
  <si>
    <t>BENJAMIN NYONGESA</t>
  </si>
  <si>
    <t>MARK  SINDANI</t>
  </si>
  <si>
    <t>FRANCIS  WALUBENGO</t>
  </si>
  <si>
    <t>HOMPHINE KIPLANG'AT</t>
  </si>
  <si>
    <t>BRIAN  WEKESA</t>
  </si>
  <si>
    <t>ROBIN  KIPLIMO</t>
  </si>
  <si>
    <t>BRAISON  LUKOA</t>
  </si>
  <si>
    <t>LADSLAUS MOYA</t>
  </si>
  <si>
    <t>ELIAH M WEKESA</t>
  </si>
  <si>
    <t>RENSON S. WEKHANYA</t>
  </si>
  <si>
    <t>ANTHONY  KAKAI</t>
  </si>
  <si>
    <t>JOEL KIPLIMO</t>
  </si>
  <si>
    <t>GEORGE WATTANG'AH</t>
  </si>
  <si>
    <t>ESAU KIPLANG'AT</t>
  </si>
  <si>
    <t>SAMWEL MAENA</t>
  </si>
  <si>
    <t>JOB  BUYELA</t>
  </si>
  <si>
    <t>FELIX  WANGILA</t>
  </si>
  <si>
    <t>FASTINE WANJALA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</si>
  <si>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</si>
  <si>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</t>
  </si>
  <si>
    <t>SIMON MASINDE</t>
  </si>
  <si>
    <t>MARVIN WANYAMA</t>
  </si>
  <si>
    <t>EUGINE NYONGESA</t>
  </si>
  <si>
    <t xml:space="preserve">       </t>
  </si>
  <si>
    <t>DOCTOR SIKUKU</t>
  </si>
  <si>
    <t xml:space="preserve">                    FORM FOUR Y FEES BALANCES AS AT 20th NOVEMBER 2018</t>
  </si>
  <si>
    <t xml:space="preserve">                    FORM FOUR X FEES BALANCES AS AT 20th NOVEMBER  2018</t>
  </si>
  <si>
    <t>SAMMY OSULA  ASAVA</t>
  </si>
  <si>
    <t xml:space="preserve">                                                                                                                                          </t>
  </si>
  <si>
    <t>DAVID WASILWA</t>
  </si>
  <si>
    <t xml:space="preserve">                                                             </t>
  </si>
  <si>
    <t>SAMMY  KWEMOI</t>
  </si>
  <si>
    <t>DANIEL KIBORE</t>
  </si>
  <si>
    <t xml:space="preserve">                                                                                                              </t>
  </si>
  <si>
    <t>DAVID YONA KIBET</t>
  </si>
  <si>
    <t>JAMES  WESONGA</t>
  </si>
  <si>
    <t>ALLAN MURUNGA</t>
  </si>
  <si>
    <t>LUKE NGANGA</t>
  </si>
  <si>
    <t>DENNIS KIRWA</t>
  </si>
  <si>
    <t>KEVIN MASIKA WAFULA</t>
  </si>
  <si>
    <t>FORM FOUR Y FEES BALANCES AS AT 31ST OCTOBER. 2019</t>
  </si>
  <si>
    <t xml:space="preserve">                    FORM THREE X FEES BALANCES AS AT 31ST OCTOBER 2019</t>
  </si>
  <si>
    <t>ANDREW NYONGESA</t>
  </si>
  <si>
    <t xml:space="preserve">               </t>
  </si>
  <si>
    <t>ELVIS WANYONYI</t>
  </si>
  <si>
    <t>ABRAHAM W.SIMIYU</t>
  </si>
  <si>
    <t xml:space="preserve">                                                                                                                                   </t>
  </si>
  <si>
    <t xml:space="preserve">                                                                                           </t>
  </si>
  <si>
    <t>ELIJAH  MABONGA</t>
  </si>
  <si>
    <t>ISAAC WEKESA</t>
  </si>
  <si>
    <t>EXAVIOUR WEKESA</t>
  </si>
  <si>
    <t>DOMINIC WALUCHO</t>
  </si>
  <si>
    <t>MICHAEL WAMANYENGO    3593</t>
  </si>
  <si>
    <t>TYSON WAFULA NYONGES</t>
  </si>
  <si>
    <t>ISAAC WAFULA WANJALA</t>
  </si>
  <si>
    <t>KEVIN    K.  KIPLANG'ÁT</t>
  </si>
  <si>
    <t>TITUS  MAIKUT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</si>
  <si>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</si>
  <si>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EDWIN WEKESA</t>
  </si>
  <si>
    <t>KISICHONI</t>
  </si>
  <si>
    <t>EMMANUEL KIPSANG'</t>
  </si>
  <si>
    <t>OLIVER WAMUKOTA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</si>
  <si>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</si>
  <si>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NO.</t>
  </si>
  <si>
    <t>AMOS  MUSE</t>
  </si>
  <si>
    <t>DERRICK WEKESA</t>
  </si>
  <si>
    <t>ADANAS  BARASA</t>
  </si>
  <si>
    <t>KEVIN  KWEMBOI</t>
  </si>
  <si>
    <t>CLARENCE  KHISA</t>
  </si>
  <si>
    <t>EMMANUEL  WALIAULA</t>
  </si>
  <si>
    <t>CALEB  MABUKA</t>
  </si>
  <si>
    <t>PETER  SICHANGI</t>
  </si>
  <si>
    <t>ELIAS WAFULA</t>
  </si>
  <si>
    <t>MICAH MUSAMALI</t>
  </si>
  <si>
    <t>GODWIN SIMOTWO</t>
  </si>
  <si>
    <t>BRIAN  S. WEKESA</t>
  </si>
  <si>
    <t>JOSHUA  KIPLIMO</t>
  </si>
  <si>
    <t>BRIAN ROTICH</t>
  </si>
  <si>
    <t>OSCAR  CHEREN</t>
  </si>
  <si>
    <t>GLITON  BAHATI</t>
  </si>
  <si>
    <t>IAN LEVI WAMALWA</t>
  </si>
  <si>
    <t>CLINTON  JUMA</t>
  </si>
  <si>
    <t>EMMANUEL WANDABWA</t>
  </si>
  <si>
    <t>OLIVER  LUBANGO</t>
  </si>
  <si>
    <t>BUSHMEL  WATILA</t>
  </si>
  <si>
    <t>DENNIS  KING'ARU</t>
  </si>
  <si>
    <t xml:space="preserve">BONFACE </t>
  </si>
  <si>
    <t>NO</t>
  </si>
  <si>
    <t>ADM.</t>
  </si>
  <si>
    <t>BRAMWEL NYONGESA</t>
  </si>
  <si>
    <t xml:space="preserve">FELIX </t>
  </si>
  <si>
    <t>MANOAH</t>
  </si>
  <si>
    <t>VILLAH</t>
  </si>
  <si>
    <t>DERRICK</t>
  </si>
  <si>
    <t>DANCUN</t>
  </si>
  <si>
    <t>SIKUKU</t>
  </si>
  <si>
    <t>NAAMAN</t>
  </si>
  <si>
    <t>ROBIN</t>
  </si>
  <si>
    <t>CHRISPNUS WAFULA</t>
  </si>
  <si>
    <t>PHOBIAN</t>
  </si>
  <si>
    <t>KHAEMBA</t>
  </si>
  <si>
    <t>LUBANGO</t>
  </si>
  <si>
    <t>KEVIN</t>
  </si>
  <si>
    <t>MUTORO</t>
  </si>
  <si>
    <t xml:space="preserve">GODWIN </t>
  </si>
  <si>
    <t xml:space="preserve">PHINE </t>
  </si>
  <si>
    <t>KAMULI</t>
  </si>
  <si>
    <t>HILLARY</t>
  </si>
  <si>
    <t>EUGINE</t>
  </si>
  <si>
    <t>GALOS</t>
  </si>
  <si>
    <t>MICHAEL</t>
  </si>
  <si>
    <t>WAKWEIKA</t>
  </si>
  <si>
    <t>JOEL</t>
  </si>
  <si>
    <t>SYBRIAN</t>
  </si>
  <si>
    <t>WANUNGU</t>
  </si>
  <si>
    <t>HARON      MATETE</t>
  </si>
  <si>
    <t>PHILIP</t>
  </si>
  <si>
    <t>OTIENO</t>
  </si>
  <si>
    <t xml:space="preserve">GLEN </t>
  </si>
  <si>
    <t>HARBERT</t>
  </si>
  <si>
    <t xml:space="preserve">ELIAH </t>
  </si>
  <si>
    <t>WALTER</t>
  </si>
  <si>
    <t>KIPROP</t>
  </si>
  <si>
    <t>NICKSON</t>
  </si>
  <si>
    <t>SIMBI</t>
  </si>
  <si>
    <t>JOSEPH</t>
  </si>
  <si>
    <t>DALMAS</t>
  </si>
  <si>
    <t>ABUID</t>
  </si>
  <si>
    <t>WAMBULWA</t>
  </si>
  <si>
    <t>EZRA</t>
  </si>
  <si>
    <t>MALISHA</t>
  </si>
  <si>
    <t>HESBON</t>
  </si>
  <si>
    <t>MAYEKU</t>
  </si>
  <si>
    <t>ISAYA</t>
  </si>
  <si>
    <t>LEONARD</t>
  </si>
  <si>
    <t>WABWILE</t>
  </si>
  <si>
    <t xml:space="preserve">MIKA W.   </t>
  </si>
  <si>
    <t>RONALD</t>
  </si>
  <si>
    <t>JOB S.</t>
  </si>
  <si>
    <t>SICHANGI</t>
  </si>
  <si>
    <t>ATANAS</t>
  </si>
  <si>
    <t>ADM. NO,.</t>
  </si>
  <si>
    <t>TIMOTHY  MAMAI</t>
  </si>
  <si>
    <t>WALTER KWEMBOI</t>
  </si>
  <si>
    <t>ISAAC SIMOTWO</t>
  </si>
  <si>
    <t>ELVIS SITATI</t>
  </si>
  <si>
    <t>ELDON KWEMBOI</t>
  </si>
  <si>
    <t>DAUGLAS  SIMIYU</t>
  </si>
  <si>
    <t>KELVIN      KIBET</t>
  </si>
  <si>
    <t>ABEL      K. MASAI</t>
  </si>
  <si>
    <t>DANIEL WASWA</t>
  </si>
  <si>
    <t>KELVIN      SOITAH</t>
  </si>
  <si>
    <t>SIMON WACHIYE</t>
  </si>
  <si>
    <t>JOHNPAUL  SITATI</t>
  </si>
  <si>
    <t>SAMMY  CHEMWIRE</t>
  </si>
  <si>
    <t>ROTICH K.LARMIK</t>
  </si>
  <si>
    <t>DAVID WAFULA</t>
  </si>
  <si>
    <t>STEPHEN  BARASA</t>
  </si>
  <si>
    <t>BRIAN        KIPROTICH</t>
  </si>
  <si>
    <t>YONA K. NGOBOLA</t>
  </si>
  <si>
    <t>AMOS KIMTAI</t>
  </si>
  <si>
    <t>ALEX NGEYWO</t>
  </si>
  <si>
    <t>MARK ROTICH</t>
  </si>
  <si>
    <t>DANIEL     WANJALA</t>
  </si>
  <si>
    <t>ABEL    MWANGAFU</t>
  </si>
  <si>
    <t>AARON    WANJALA</t>
  </si>
  <si>
    <t>MOSES W. NYONGESA</t>
  </si>
  <si>
    <t>MARK WANYONYI</t>
  </si>
  <si>
    <t>GEORGE  BARASA</t>
  </si>
  <si>
    <t>SIMON W.MUSE</t>
  </si>
  <si>
    <t>LAWRANCE MASIKA</t>
  </si>
  <si>
    <t>ALLAN WEKESA</t>
  </si>
  <si>
    <t>ELIA   K. NGEYWO</t>
  </si>
  <si>
    <t>ELISHA JUMA</t>
  </si>
  <si>
    <t>BILL MUYONGA</t>
  </si>
  <si>
    <t>DERRICK SAENYI</t>
  </si>
  <si>
    <t>OSCAH K. OPICHO</t>
  </si>
  <si>
    <t>AGGREY  WAFULA</t>
  </si>
  <si>
    <t>AMOS  SOITA</t>
  </si>
  <si>
    <t>HUMPHREY  WEKESA</t>
  </si>
  <si>
    <t>COLLINS MUSE</t>
  </si>
  <si>
    <t>REMMY     JUMA</t>
  </si>
  <si>
    <t>HAGGAI WAMUKOTA</t>
  </si>
  <si>
    <t>ISAAC         WAFULA</t>
  </si>
  <si>
    <t>CALEB S. MAKANDA</t>
  </si>
  <si>
    <t xml:space="preserve">KENNEDY NJUNUKHA             </t>
  </si>
  <si>
    <t>TIMOTHY M SIMIYU</t>
  </si>
  <si>
    <t>ALVIN SIMIYU</t>
  </si>
  <si>
    <t>GABRIEL WAFULA</t>
  </si>
  <si>
    <t>ABEL K. NDIEMA</t>
  </si>
  <si>
    <t>PHILIP K. NDIEMA</t>
  </si>
  <si>
    <t>DENNIS MASOLO</t>
  </si>
  <si>
    <t>EMMANUEL WAFULA</t>
  </si>
  <si>
    <t/>
  </si>
  <si>
    <t>STEPHEN KIPROTICH</t>
  </si>
  <si>
    <t xml:space="preserve"> FORM FOUR X FEES BALANCES AS AT 7TH OCTOBER. 2019</t>
  </si>
  <si>
    <t xml:space="preserve">NYONGESA </t>
  </si>
  <si>
    <t>FORM FOUR E FEES BALANCES AS AT 31ST  MARCH. 2021</t>
  </si>
  <si>
    <t>FORM FOUR WEST FEES BALANCES AS AT 31ST MARCH. 2021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</si>
  <si>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</si>
  <si>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GIDEON MUYELELE</t>
  </si>
  <si>
    <t xml:space="preserve">      </t>
  </si>
  <si>
    <t>JOHN</t>
  </si>
  <si>
    <t>MESHACK NYARANGA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</si>
  <si>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</si>
  <si>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PHILIP WAFULA  BARASA</t>
  </si>
  <si>
    <t>ELIUD NAIBEI  MASAI</t>
  </si>
  <si>
    <t>SAMMY SIMIYU NAMAKHELO</t>
  </si>
  <si>
    <t>OWEN ROTICH KIMTAI</t>
  </si>
  <si>
    <t>TIMOTHY OKIRU JUMA</t>
  </si>
  <si>
    <t xml:space="preserve">CYPRIAN WANJALA </t>
  </si>
  <si>
    <t>BRIAN JUMA BARASA</t>
  </si>
  <si>
    <t>SHADRON KIBET KUMUT</t>
  </si>
  <si>
    <t>TITUS KIPYEGO SANGULA</t>
  </si>
  <si>
    <t>BRAVIN WANJALA SIMIYU</t>
  </si>
  <si>
    <t>EZEKIEL WAFULA MIRUNI</t>
  </si>
  <si>
    <t>HILLARY OKUMU</t>
  </si>
  <si>
    <t xml:space="preserve">TITUS </t>
  </si>
  <si>
    <t>FRANCIS WANYAMA</t>
  </si>
  <si>
    <t>NEWTON BARASA</t>
  </si>
  <si>
    <t>MIRACLE</t>
  </si>
  <si>
    <t>LEVI KUNDU</t>
  </si>
  <si>
    <t>OSCAR BARASA</t>
  </si>
  <si>
    <t>SAMUEL SIMIYU</t>
  </si>
  <si>
    <t xml:space="preserve">KEFA KHISA </t>
  </si>
  <si>
    <t>DENNIS WANJALA</t>
  </si>
  <si>
    <t>SAMUEL WANGILA</t>
  </si>
  <si>
    <t>EUGINE SICHANGI</t>
  </si>
  <si>
    <t>PROTUS SITATI</t>
  </si>
  <si>
    <t>CARLOS  KWEMBOI</t>
  </si>
  <si>
    <t>MORGAN  JUMA</t>
  </si>
  <si>
    <t>KELVIN   WAFULA</t>
  </si>
  <si>
    <t>NEWTON  KISEMBE</t>
  </si>
  <si>
    <t>VICTOR  KIMAKWA</t>
  </si>
  <si>
    <t>LEVI  MASOLO</t>
  </si>
  <si>
    <t>VICTOR KILISWA</t>
  </si>
  <si>
    <t>CHRISPNUS      WANJALA</t>
  </si>
  <si>
    <t>OSCAR BARASA SIMIYU</t>
  </si>
  <si>
    <t>IAN WANGILA</t>
  </si>
  <si>
    <t>KELVIN KIBET</t>
  </si>
  <si>
    <t>JUSTUS SIMIYU</t>
  </si>
  <si>
    <t>CALISTUS MUKHWANA</t>
  </si>
  <si>
    <t>WYCLIFEE WEKESA</t>
  </si>
  <si>
    <t>NICKSON WANJALA</t>
  </si>
  <si>
    <t>ALEX KUNDU</t>
  </si>
  <si>
    <t>MICHAEL WANJALA</t>
  </si>
  <si>
    <t>DENNIS SIKUKU</t>
  </si>
  <si>
    <t>BEDAN WATAKA</t>
  </si>
  <si>
    <t>REAGAN BERA</t>
  </si>
  <si>
    <t>TYSON BARASA</t>
  </si>
  <si>
    <t>DANIEL WANJALA</t>
  </si>
  <si>
    <t>ABRAHAM JASON BARASA</t>
  </si>
  <si>
    <t>DAVIS NALIANYA</t>
  </si>
  <si>
    <t>BRAISON  WANJALA</t>
  </si>
  <si>
    <t>SAMUEL NABIYE</t>
  </si>
  <si>
    <t>JAIRUS WAFULA WANYONYI</t>
  </si>
  <si>
    <t>GRIVIN W WEKESA</t>
  </si>
  <si>
    <t>DERRICK WERUNGA</t>
  </si>
  <si>
    <t>ISAAC SIMIYU KUNUSIA</t>
  </si>
  <si>
    <t>EVANS NYONGESA</t>
  </si>
  <si>
    <t>JOSHUA B. MALISHA</t>
  </si>
  <si>
    <t>ISAIAH  BARASA WAFULA</t>
  </si>
  <si>
    <t>DAVID WAFULA BARASA</t>
  </si>
  <si>
    <t>TONNY WANJALA SIMIYU</t>
  </si>
  <si>
    <t>VICTOR SITATI WANJALA</t>
  </si>
  <si>
    <t>EMMANUEL SIMIYU WEKESA</t>
  </si>
  <si>
    <t>STEPHEN CHEMULITI</t>
  </si>
  <si>
    <t>KALE</t>
  </si>
  <si>
    <t>COLLINS WEPUKHULU</t>
  </si>
  <si>
    <t>CHARLES NYANGA WANJALA</t>
  </si>
  <si>
    <t>BRIAN NAGENDO WANJALA</t>
  </si>
  <si>
    <t>ANDREW WAMBULWA SIFUNA</t>
  </si>
  <si>
    <t>SAMMY KIPRUTO</t>
  </si>
  <si>
    <t>ELISHA  MALISHA</t>
  </si>
  <si>
    <t>BRIAN WANJALA WEKESA</t>
  </si>
  <si>
    <t>ELISHA BIKETI NAMBAFU</t>
  </si>
  <si>
    <t>ALLAN MUSTO KAPTUWAI</t>
  </si>
  <si>
    <t>MURESHA KHAEMBA ELDREDGE</t>
  </si>
  <si>
    <t>EUGINE MASOLO</t>
  </si>
  <si>
    <t xml:space="preserve">GALOS NYONGESA </t>
  </si>
  <si>
    <t>JOHN BARASA</t>
  </si>
  <si>
    <t xml:space="preserve">B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</si>
  <si>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</si>
  <si>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</t>
  </si>
  <si>
    <t>ELIAS WAFULA WANYONYI</t>
  </si>
  <si>
    <t>EMMANUEL KIPROP</t>
  </si>
  <si>
    <t>KENNEDY PKARAM MASAI</t>
  </si>
  <si>
    <t>SAVIOUR WAMALWA</t>
  </si>
  <si>
    <t>ONESMUS BARASA</t>
  </si>
  <si>
    <t>IAN SIMIYU WEKESA</t>
  </si>
  <si>
    <t>RICHARD KIBERENGE</t>
  </si>
  <si>
    <t xml:space="preserve">ENOCK </t>
  </si>
  <si>
    <t>MUKENYA</t>
  </si>
  <si>
    <t xml:space="preserve">EDWIN </t>
  </si>
  <si>
    <t>NJUNUKHA</t>
  </si>
  <si>
    <t xml:space="preserve">                                                                                                                                                    </t>
  </si>
  <si>
    <t xml:space="preserve">                                                                                   </t>
  </si>
  <si>
    <t>JOSHUA NYONGESA</t>
  </si>
  <si>
    <t>DAVID LIVINGSTONE</t>
  </si>
  <si>
    <t>ELVIS MASINDE NABISWA</t>
  </si>
  <si>
    <t>JOB WANJALA</t>
  </si>
  <si>
    <t>KEVIN KHISA KIBERENGE</t>
  </si>
  <si>
    <t>SIXTUS WEKESA</t>
  </si>
  <si>
    <t>LEVY NYONGESA</t>
  </si>
  <si>
    <t>ROBIN  SINYO WACHIYE</t>
  </si>
  <si>
    <t>DERRICK   W.   MASOLO</t>
  </si>
  <si>
    <t>LEAN BAHATI    WALIAULA</t>
  </si>
  <si>
    <t>JAMES EMODO</t>
  </si>
  <si>
    <t>MICAH WAFULA</t>
  </si>
  <si>
    <t>MICAH KISO</t>
  </si>
  <si>
    <t>ABUIT WAFULA SIMIYU</t>
  </si>
  <si>
    <t>KELVIN WANYONYI</t>
  </si>
  <si>
    <t>PAUL WAFULA WATAKA</t>
  </si>
  <si>
    <t>DENNICE MUKHWANA</t>
  </si>
  <si>
    <t>EVANS MABONGA</t>
  </si>
  <si>
    <t>ROY M. NYONGESA</t>
  </si>
  <si>
    <t>LAWRENCE SIKUKU</t>
  </si>
  <si>
    <t>BRAVIN BARASA</t>
  </si>
  <si>
    <t>WILBER KIMTAI</t>
  </si>
  <si>
    <t>MOSES WANDERA</t>
  </si>
  <si>
    <t>ANTHONY BARASA</t>
  </si>
  <si>
    <t>ISAAC SIMIYU</t>
  </si>
  <si>
    <t>SONY WEKESA</t>
  </si>
  <si>
    <t>GODFREY JUMA</t>
  </si>
  <si>
    <t>EUGINE WAMUKOTA</t>
  </si>
  <si>
    <t>AMOS WAINGILA</t>
  </si>
  <si>
    <t>ELIYA SICHANGI</t>
  </si>
  <si>
    <t>SHADRACK KISEMBE</t>
  </si>
  <si>
    <t>SILAS KIBET</t>
  </si>
  <si>
    <t>CRISPUS WALIAULA</t>
  </si>
  <si>
    <t>BRIAN MANYONGE</t>
  </si>
  <si>
    <t>ISAAC NDAMWE</t>
  </si>
  <si>
    <t>SAMMY ROTICH</t>
  </si>
  <si>
    <t>CALEB W WAMBULWA</t>
  </si>
  <si>
    <t>GRAPHINE KIBET</t>
  </si>
  <si>
    <t>ISAAC BWONGO</t>
  </si>
  <si>
    <t>JOB W. WANGILA</t>
  </si>
  <si>
    <t>EZRA WAFULA</t>
  </si>
  <si>
    <t>TIMOTHY WANJALA</t>
  </si>
  <si>
    <t>EMMANUEL  SIKUKU</t>
  </si>
  <si>
    <t>MESHACK B KITAI</t>
  </si>
  <si>
    <t>GODFREY SIFUNA</t>
  </si>
  <si>
    <t>JARET KWEMOI</t>
  </si>
  <si>
    <t>CHARLES BARASA</t>
  </si>
  <si>
    <t>REUBEN NAIBEI</t>
  </si>
  <si>
    <t>WALTER WANJALA</t>
  </si>
  <si>
    <t>LABBEUS NACHUKA</t>
  </si>
  <si>
    <t>BRAVIN WANJALA</t>
  </si>
  <si>
    <t>PAUL VICTOR WANJALA</t>
  </si>
  <si>
    <t>WALTER CHESETO</t>
  </si>
  <si>
    <t>SEBASTIAN WANJALA</t>
  </si>
  <si>
    <t>ERICK KIBET</t>
  </si>
  <si>
    <t>NATHAN JUMA</t>
  </si>
  <si>
    <t>FERDINAND KUNUSIA</t>
  </si>
  <si>
    <t>ISAAC JUMA SIMIYU</t>
  </si>
  <si>
    <t>BRIAN KITUYI</t>
  </si>
  <si>
    <t>AUGASTINE WAMBATI</t>
  </si>
  <si>
    <t>FORM FOUR W FEES BALANCES AS AT 29TH MARCH . 2022</t>
  </si>
  <si>
    <t>FORM FOUR EAST FEES BALANCES AS AT 29TH MARCH.2022.</t>
  </si>
  <si>
    <t>JOSHUA KIPRUTO</t>
  </si>
  <si>
    <t>ROBIN CHEMIAT</t>
  </si>
  <si>
    <t>BENSON KISUYA</t>
  </si>
  <si>
    <t>REMMY KWEMOI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</si>
  <si>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</si>
  <si>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ELIJAH CHELOTI</t>
  </si>
  <si>
    <t>BENDICT MARABI WEKESA</t>
  </si>
  <si>
    <t>GILBERT KIBET MASAI</t>
  </si>
  <si>
    <t xml:space="preserve">                     </t>
  </si>
  <si>
    <t>DAUGLAS MBACHI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</si>
  <si>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</si>
  <si>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KGS coffee</t>
  </si>
  <si>
    <t>`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</si>
  <si>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</si>
  <si>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</si>
  <si>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FORM FOUR E FEES BALANCES AS AT 23RD NOVEMBER 2022</t>
  </si>
  <si>
    <t>FORM FOUR W FEES BALANCES AS AT 23RD NOVEMBER 2022</t>
  </si>
  <si>
    <t>ADM</t>
  </si>
  <si>
    <t xml:space="preserve">ELVIN WAFULA </t>
  </si>
  <si>
    <t>GIDEON WANYAMA</t>
  </si>
  <si>
    <t>CORNELIUS BARASA</t>
  </si>
  <si>
    <t>GIDEON WANJALA</t>
  </si>
  <si>
    <t>MOSES WANJALA</t>
  </si>
  <si>
    <t>MARK WEKESA</t>
  </si>
  <si>
    <t xml:space="preserve">FELIX KIPROTICH </t>
  </si>
  <si>
    <t>NICKSON MULIRO</t>
  </si>
  <si>
    <t>SAMMY MWALO</t>
  </si>
  <si>
    <t>ABRAHAM KIPLANG'AT</t>
  </si>
  <si>
    <t>ARON AMANA</t>
  </si>
  <si>
    <t>IAN NG'ETICH</t>
  </si>
  <si>
    <t>WILBERFORCE WAFULA</t>
  </si>
  <si>
    <t>KEVIN OTUNGA</t>
  </si>
  <si>
    <t>ARNEST WAFULA</t>
  </si>
  <si>
    <t>SYDNEY MARUTI</t>
  </si>
  <si>
    <t>ELLY KOSGEY</t>
  </si>
  <si>
    <t>ESLEY WANGILA</t>
  </si>
  <si>
    <t>CORNELIUS  MAYAMBA</t>
  </si>
  <si>
    <t>MORDECAI MAYAMBA</t>
  </si>
  <si>
    <t>GLADSON WATILA</t>
  </si>
  <si>
    <t>MARK MASINDE</t>
  </si>
  <si>
    <t>ALLAN WACHEMBA</t>
  </si>
  <si>
    <t>KENNETH WAFULA</t>
  </si>
  <si>
    <t>NUHU WAFULA MAKATU</t>
  </si>
  <si>
    <t>NASHON WAFULA JUMA</t>
  </si>
  <si>
    <t>SHADRACK SIKUKU</t>
  </si>
  <si>
    <t>MICAH WANYONYI WAFULA</t>
  </si>
  <si>
    <t>PAUL OJUK CHITERE</t>
  </si>
  <si>
    <t>BETHWEL WESWA</t>
  </si>
  <si>
    <t>VICTOR MUSE</t>
  </si>
  <si>
    <t>MOSES WANJALA WEKESA</t>
  </si>
  <si>
    <t>CLIFF WAMALWA WAFULA</t>
  </si>
  <si>
    <t>JOSECK WEKESA</t>
  </si>
  <si>
    <t>CARLOS JUMA WAFULA</t>
  </si>
  <si>
    <t>FELIX KIPROTICH MOCHOMU</t>
  </si>
  <si>
    <t>EMMANUEL BAHATI JUMA</t>
  </si>
  <si>
    <t>SAMMY SIMIYU WANJALA</t>
  </si>
  <si>
    <t>LAMECK WANYONYI SIMIYU</t>
  </si>
  <si>
    <t>VICTOR WAFULA WANYONYI</t>
  </si>
  <si>
    <t>JOSEPH WAFULA WEKESA</t>
  </si>
  <si>
    <t>EUGINE  SIMIYU WEKESA</t>
  </si>
  <si>
    <t>APPLEPROSE WAMALWA</t>
  </si>
  <si>
    <t>GIDEON SIMIYU</t>
  </si>
  <si>
    <t>ELIAS WAMALWA</t>
  </si>
  <si>
    <t>RAYMOND WAFULA</t>
  </si>
  <si>
    <t xml:space="preserve">BRIAN WAFULA </t>
  </si>
  <si>
    <t>BORNFACE WAMALWA</t>
  </si>
  <si>
    <t>AUGUSTINE WEKESA</t>
  </si>
  <si>
    <t>SYLVESTER MURUNGA</t>
  </si>
  <si>
    <t>DEVISE WANJALA JUMA</t>
  </si>
  <si>
    <t>BABRAK SIMIYU WEKESA</t>
  </si>
  <si>
    <t>ELIAS WANJALA WANYAMA</t>
  </si>
  <si>
    <t>JACK WANJALA BARASA</t>
  </si>
  <si>
    <t>SHADRACK KIBET</t>
  </si>
  <si>
    <t>MICHAEL WASIKE JUMA</t>
  </si>
  <si>
    <t>LUKE JUMA WAFULA</t>
  </si>
  <si>
    <t>ISAAC W. WALUBENGO</t>
  </si>
  <si>
    <t>GRIFFIN WAFULA</t>
  </si>
  <si>
    <t>DAVID SANGURA</t>
  </si>
  <si>
    <t>KEVIN BWONGO MASOLO</t>
  </si>
  <si>
    <t>ABRAHAM CHIBELI</t>
  </si>
  <si>
    <t>NELSON SIMIYU BARASA</t>
  </si>
  <si>
    <t>KEN WANGOLO MULUMETI</t>
  </si>
  <si>
    <t>COLLINS NYONGESA</t>
  </si>
  <si>
    <t>OSCAR KIMTAI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</si>
  <si>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</si>
  <si>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ELIA SIKETI KWEMOI</t>
  </si>
  <si>
    <t>PLACIDUS BARASA</t>
  </si>
  <si>
    <t>CHRISPNUS WANJALA</t>
  </si>
  <si>
    <t>FELIX WASWA</t>
  </si>
  <si>
    <t>GERRY CHEROBEN KIBOI</t>
  </si>
  <si>
    <t>BRAVIN KIBET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</si>
  <si>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</si>
  <si>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SAMUEL BARASA</t>
  </si>
  <si>
    <t>IAN KAMULI BARASA</t>
  </si>
  <si>
    <t>coffee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</si>
  <si>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</si>
  <si>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AARON KUMALI</t>
  </si>
  <si>
    <t>FORM FOUR W FEES BALANCES AS AT 19TH OCT  2023</t>
  </si>
  <si>
    <t>FORM FOUR E FEES BALANCES AS AT 19TH OCT 2023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</si>
  <si>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</si>
  <si>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REX SIMIYU</t>
  </si>
  <si>
    <t>DANIEL SIMIYU WEKESA</t>
  </si>
  <si>
    <t>SAMSON KIPROTICH</t>
  </si>
  <si>
    <t>JOSHUA KIPLANG'AT</t>
  </si>
  <si>
    <t>BRIAN WANJALA WANYONYI</t>
  </si>
  <si>
    <t>ELLY KIPSANG TARAGON</t>
  </si>
  <si>
    <t>LUISE SIMIYU WANJALA</t>
  </si>
  <si>
    <t>DAVID W. KUNDU</t>
  </si>
  <si>
    <t>DANIEL MUSUNGU WAUYO</t>
  </si>
  <si>
    <t>MORGAN SURAI KIPSANG</t>
  </si>
  <si>
    <t>HAGGAI KIPROTICH NDIEMA</t>
  </si>
  <si>
    <t>BRAVIN KIPTOO</t>
  </si>
  <si>
    <t>ALLAN KIBET NDIEMA</t>
  </si>
  <si>
    <t>JOB WEKESA</t>
  </si>
  <si>
    <t>SETH OSIYA WAGAT</t>
  </si>
  <si>
    <t>GASPAH WAFULA</t>
  </si>
  <si>
    <t>ANTHONY W. WALUBENGO</t>
  </si>
  <si>
    <t>MORGAN ROTICH SIYOI</t>
  </si>
  <si>
    <t>SOLOMON MATETE</t>
  </si>
  <si>
    <t>DAVIES JUMA WANJALA</t>
  </si>
  <si>
    <t>STEPHEN WAFULA WAMALWA</t>
  </si>
  <si>
    <t>HILLARY MASINDE WANJALA</t>
  </si>
  <si>
    <t>MESHACK KHISA SIMIYU</t>
  </si>
  <si>
    <t>ONESMUS SIMIYU MALISHA</t>
  </si>
  <si>
    <t>ELVIN JUMA  MASOLO</t>
  </si>
  <si>
    <t>IAN SIMIYU CHESIRO</t>
  </si>
  <si>
    <t>REAGAN JUMA WANAMI</t>
  </si>
  <si>
    <t>STEWARD WANJALA KIMAKWA</t>
  </si>
  <si>
    <t>IGNISIAS KIPRUTO RENDA</t>
  </si>
  <si>
    <t>ELLY KIPSANG RENDA</t>
  </si>
  <si>
    <t>ABYSA MABINDA WANYONYI</t>
  </si>
  <si>
    <t>DAVID WAFULA WANYONYI</t>
  </si>
  <si>
    <t>SOLOMON BUSURU</t>
  </si>
  <si>
    <t>DAN WEKESA BARASA</t>
  </si>
  <si>
    <t>BRAVINE WEKESA</t>
  </si>
  <si>
    <t>BRIGHTON CHENGE  WANJALA</t>
  </si>
  <si>
    <t>SAMWEL KIBET MATAYA</t>
  </si>
  <si>
    <t>VICTOR SIMIYU WEPUKHULU</t>
  </si>
  <si>
    <t>EUGINE BARASA NASIUMA</t>
  </si>
  <si>
    <t>CALEB WANJALA</t>
  </si>
  <si>
    <t>BRAVIN WANYONYI WEKESA</t>
  </si>
  <si>
    <t>ALOIS WATATA KAMULI</t>
  </si>
  <si>
    <t>SAMMY WAFULA WEKHANYA</t>
  </si>
  <si>
    <t>MORGAN KIBET KIPSEREM</t>
  </si>
  <si>
    <t>FRANCIS SIMIYU MUTONYI</t>
  </si>
  <si>
    <t>MAXWELL WANJALA KUNDU</t>
  </si>
  <si>
    <t>ELVIS WANJALA MUTORO</t>
  </si>
  <si>
    <t>BRIAN SICHANGI BARASA</t>
  </si>
  <si>
    <t>TOBIAS JUMA</t>
  </si>
  <si>
    <t>KIN WANGILA BARASA</t>
  </si>
  <si>
    <t>FOBIAN JUMA WANYONYI</t>
  </si>
  <si>
    <t>NICKSON SIMBI KHISA</t>
  </si>
  <si>
    <t>BRAVIN SIMIYU WALIAULA</t>
  </si>
  <si>
    <t>HOSEA WANYONYI</t>
  </si>
  <si>
    <t>SAMWEL SIMIYU WANJALA</t>
  </si>
  <si>
    <t>AMOS WAFULA</t>
  </si>
  <si>
    <t>ELISHA BARASA WANJALA</t>
  </si>
  <si>
    <t>MOSES KIBOI</t>
  </si>
  <si>
    <t>AMOS BARASA WANYONYI</t>
  </si>
  <si>
    <t>LINOS MALULU</t>
  </si>
  <si>
    <t>PATRICK SABWAMI</t>
  </si>
  <si>
    <t>NORMAN SIMIYU</t>
  </si>
  <si>
    <t>OLIVER KIPTOO ARAMIS</t>
  </si>
  <si>
    <t>MOSES SIMIYU</t>
  </si>
  <si>
    <t>GOSPEL C WALUKANA</t>
  </si>
  <si>
    <t>JOHNIEWESTON MAKANGA</t>
  </si>
  <si>
    <t>ALLAN LUSWETI</t>
  </si>
  <si>
    <t>BOAZ SIMIYU</t>
  </si>
  <si>
    <t>OLIVER NYONGESA</t>
  </si>
  <si>
    <t>ELVIS NDIWA SICHEI</t>
  </si>
  <si>
    <t>ILLSLEY LUNDENYO ACHUM</t>
  </si>
  <si>
    <t>ABEL NGUTUKU</t>
  </si>
  <si>
    <t>HANNINGTON MWALO</t>
  </si>
  <si>
    <t>LAZARUS WANGILA</t>
  </si>
  <si>
    <t>DAN SIMIYU SITUMA</t>
  </si>
  <si>
    <t>STANELY WANJALA</t>
  </si>
  <si>
    <t>KEFA JUMA</t>
  </si>
  <si>
    <t>ELIYA WEKESA MULATI</t>
  </si>
  <si>
    <t xml:space="preserve">PETER KALWENYA </t>
  </si>
  <si>
    <t>PENALTY</t>
  </si>
  <si>
    <t>WALTER KIMTAI ROTICH</t>
  </si>
  <si>
    <t xml:space="preserve">ALLAN KIPSANG </t>
  </si>
  <si>
    <t>JESSE WAFULA MABONGA</t>
  </si>
  <si>
    <t>FORM FOUR WEST FEES BALANCES AS AT 31ST DEC . 2024</t>
  </si>
  <si>
    <t>FORM FOUR EAST FEES BALANCES AS AT  31ST DEC.2024</t>
  </si>
  <si>
    <t>DICKSON JUMA SIMIYU</t>
  </si>
  <si>
    <t>STANIC WANDUKWA</t>
  </si>
  <si>
    <t>EDWIN CHEMWEI TUIKENY</t>
  </si>
  <si>
    <t>MASIKA</t>
  </si>
  <si>
    <t>LEONARD BARASA</t>
  </si>
  <si>
    <t>DAVID KIBET</t>
  </si>
  <si>
    <t>BEN LUSULAI</t>
  </si>
  <si>
    <t>JOSHUA MALISHA</t>
  </si>
  <si>
    <t>CLINTON BARASA</t>
  </si>
  <si>
    <t>BRAMWEL OMANYALA</t>
  </si>
  <si>
    <t>OSCAR WATIMA</t>
  </si>
  <si>
    <t>VICTOR KHATETE</t>
  </si>
  <si>
    <t>MURESHA ELDREDGE</t>
  </si>
  <si>
    <t>ISAAC SIMIYU KHAMALA</t>
  </si>
  <si>
    <t xml:space="preserve">                                                                                                                 </t>
  </si>
  <si>
    <t>BRIAN NANGENDO WANJALA</t>
  </si>
  <si>
    <t>FRIENDS SCHOOL KIKAI BOYS SEC. SCHOOL</t>
  </si>
  <si>
    <t>I.D NO.32877726</t>
  </si>
  <si>
    <t>PHONE  0702193642</t>
  </si>
  <si>
    <t>2020-2023</t>
  </si>
  <si>
    <t>13/10/2020</t>
  </si>
  <si>
    <t>Oct.2020</t>
  </si>
  <si>
    <t>March&amp;April 2020</t>
  </si>
  <si>
    <t>22/01/2021</t>
  </si>
  <si>
    <t>26/03/2021</t>
  </si>
  <si>
    <t>27/05/2021</t>
  </si>
  <si>
    <t>GROSS</t>
  </si>
  <si>
    <t>DEDUCTION</t>
  </si>
  <si>
    <t>Feb &amp; March 2021</t>
  </si>
  <si>
    <t>7000x2</t>
  </si>
  <si>
    <t>16/7/2021</t>
  </si>
  <si>
    <t>14/10/2021</t>
  </si>
  <si>
    <t>July &amp; Aug  2021</t>
  </si>
  <si>
    <t>May &amp; June 2021</t>
  </si>
  <si>
    <t>Sept &amp; Oct  2021</t>
  </si>
  <si>
    <t>Nov &amp; Dec 2020</t>
  </si>
  <si>
    <t>27/1/2022</t>
  </si>
  <si>
    <t>22/2/2022</t>
  </si>
  <si>
    <t>25/4/2022</t>
  </si>
  <si>
    <t>Feb &amp; March 2022</t>
  </si>
  <si>
    <t>NET PAY</t>
  </si>
  <si>
    <t>28/7/2022</t>
  </si>
  <si>
    <t>29/6/2022</t>
  </si>
  <si>
    <t>14/10/2022</t>
  </si>
  <si>
    <t>Oct &amp; Nov 2022</t>
  </si>
  <si>
    <t>30/3/2023</t>
  </si>
  <si>
    <t>Jan &amp; Feb</t>
  </si>
  <si>
    <t>23/9/2023</t>
  </si>
  <si>
    <t>7000X2</t>
  </si>
  <si>
    <t>Party Dec 2022</t>
  </si>
  <si>
    <t>Final Dec.2022</t>
  </si>
  <si>
    <t>March &amp;APRIL 2023</t>
  </si>
  <si>
    <t>May &amp; June 2023</t>
  </si>
  <si>
    <t>8000x2</t>
  </si>
  <si>
    <t>26/1/2024</t>
  </si>
  <si>
    <t>28/3/2024</t>
  </si>
  <si>
    <t>Aug &amp; Sept 2023</t>
  </si>
  <si>
    <t>DATE</t>
  </si>
  <si>
    <t>MONTH</t>
  </si>
  <si>
    <t>PAYROLL OF COLLINS BARASA SITUMA- PERIOD</t>
  </si>
  <si>
    <t>JOSHUA NYONGESA MAKANDA</t>
  </si>
  <si>
    <t>SAMWEL WANJALA MULONGO</t>
  </si>
  <si>
    <t>SAMWEL MUTORO MALABA</t>
  </si>
  <si>
    <t>BONFACE W. MASIBO</t>
  </si>
  <si>
    <t>JOHN LANCASTER WAFULA</t>
  </si>
  <si>
    <t>SAMUEL WEKESA WANJALA</t>
  </si>
  <si>
    <t>TITUS SIKUKU</t>
  </si>
  <si>
    <t>ELIAS JUMA</t>
  </si>
  <si>
    <t>ADM.NO</t>
  </si>
  <si>
    <t xml:space="preserve">ALVIN KIPTOO </t>
  </si>
  <si>
    <t>MORGAN  KIBET KIPSEREM</t>
  </si>
  <si>
    <t>FRANCIS SIMIYU  MUTONYI</t>
  </si>
  <si>
    <t>PETER KALWENYA</t>
  </si>
  <si>
    <t>ALLAN KIPSANG</t>
  </si>
  <si>
    <t>ELLY RENDA KIPSANG</t>
  </si>
  <si>
    <t xml:space="preserve">SAMSON  KIPROTICH </t>
  </si>
  <si>
    <t>MARK MULONGO</t>
  </si>
  <si>
    <t>JOB MUREFU MUSAMALI</t>
  </si>
  <si>
    <t>IAN WEKESA</t>
  </si>
  <si>
    <t>f</t>
  </si>
  <si>
    <t>KEVIN MASIKA</t>
  </si>
  <si>
    <t>NAME OF STUDENT</t>
  </si>
  <si>
    <t>D/B</t>
  </si>
  <si>
    <t>AMOUNT</t>
  </si>
  <si>
    <t>GODGIVER WEKESA</t>
  </si>
  <si>
    <t>D</t>
  </si>
  <si>
    <t>CHRISPUS SIFUNA</t>
  </si>
  <si>
    <t>GRIFFIN NDIWA</t>
  </si>
  <si>
    <t>SAMMY WAFULA</t>
  </si>
  <si>
    <t>EMMANUEL WANYONYI</t>
  </si>
  <si>
    <t>SAMMY WEKESA</t>
  </si>
  <si>
    <t>KENNEDY WATAKA</t>
  </si>
  <si>
    <t>ANGOLINE SITUMA</t>
  </si>
  <si>
    <t>ALLAN WAFULA</t>
  </si>
  <si>
    <t>KEVIN TEMBULA</t>
  </si>
  <si>
    <t>REGIN BIKETI</t>
  </si>
  <si>
    <t>JOB MASIKA</t>
  </si>
  <si>
    <t>JEREMIAH WEKESA</t>
  </si>
  <si>
    <t>JOHN NYONGESA</t>
  </si>
  <si>
    <t>JAMES JUMA</t>
  </si>
  <si>
    <t>ARNOLD MABUKA</t>
  </si>
  <si>
    <t>VICTOR MASINDE</t>
  </si>
  <si>
    <t>ADNAS KIBOI</t>
  </si>
  <si>
    <t>JOHN WAFULA WANYONYI</t>
  </si>
  <si>
    <t>AUGUSTINE KIPRUTO</t>
  </si>
  <si>
    <t>EZRA JUMA</t>
  </si>
  <si>
    <t>WILSON WAFULA</t>
  </si>
  <si>
    <t>CALEB KIPLIMO CHEMION</t>
  </si>
  <si>
    <t>JOHNEWESTON MAKANGA</t>
  </si>
  <si>
    <t>MAXWELL JUMA WANJALA</t>
  </si>
  <si>
    <t>GERALD WANJALA</t>
  </si>
  <si>
    <t>ELIAH WANYAMA WANJALA</t>
  </si>
  <si>
    <t>JOHNSTONE CHEMUKU</t>
  </si>
  <si>
    <t>JOEL KAMWANA</t>
  </si>
  <si>
    <t>ELIAH WEKESA SICHANGI</t>
  </si>
  <si>
    <t>BRIVIAN OKONDA</t>
  </si>
  <si>
    <t>MARK WANJALA KHATETE</t>
  </si>
  <si>
    <t>RENSON MASINDE JUMA</t>
  </si>
  <si>
    <t>MESHACK KIPROTICH</t>
  </si>
  <si>
    <t>FORM FOUR WEST FEES BALANCES AS AT 1ST NOV.  2025</t>
  </si>
  <si>
    <t>FORM FOUR EAST FEES BALANCES AS AT 1ST NOV. 2025</t>
  </si>
  <si>
    <t>DICKENS OKASIBA</t>
  </si>
  <si>
    <t>AMON KIPRUTO</t>
  </si>
  <si>
    <t>ARNOLD WASIKE WAMUKOTA</t>
  </si>
  <si>
    <t>DAVIS KIMEI</t>
  </si>
  <si>
    <t>MOSES SITATI</t>
  </si>
  <si>
    <t>JULIUS KABANGABA SIMIYU</t>
  </si>
  <si>
    <t>SAMWEL WANJALA</t>
  </si>
  <si>
    <t>SAMWEL AMOS PILIPILI</t>
  </si>
  <si>
    <t>GRIMSON WANJALA</t>
  </si>
  <si>
    <t>CALEB SIMIYU WAMAYUYI</t>
  </si>
  <si>
    <t>TIMOTHY EMOIT</t>
  </si>
  <si>
    <t>ALLAN KIPROTICH</t>
  </si>
  <si>
    <t>ABUID SIMIYU</t>
  </si>
  <si>
    <t>FERDINAND WANJALA</t>
  </si>
  <si>
    <t>BRADILY KIMATIA MUKHWANA</t>
  </si>
  <si>
    <t>MANUEL KING'ARU KUMALI</t>
  </si>
  <si>
    <t>MUSA WANJALA</t>
  </si>
  <si>
    <t>ISAAC KIMTAI</t>
  </si>
  <si>
    <t>REAGAN WAFULA SITATI</t>
  </si>
  <si>
    <t>GRADE 10 FEES BALANCES AS AT 24TH 2026</t>
  </si>
  <si>
    <t>BRIAN KIPLIMO</t>
  </si>
  <si>
    <t>NIVEL RUTO MAKATA</t>
  </si>
  <si>
    <t>BRILLIANCE IMONJE</t>
  </si>
  <si>
    <t>MILTON KIPLIMO SIMOTWO</t>
  </si>
  <si>
    <t>MARU KIPKOECH KWENG'WA</t>
  </si>
  <si>
    <t>FORM THREE W FEES BALANCE AS AT 11TH FEB. 2026</t>
  </si>
  <si>
    <t xml:space="preserve"> FORM FOUR EAST FEES BALANCES AS AT 11TH FEB. 2026</t>
  </si>
  <si>
    <t>FORM FOUR WEST FEES BALANCES AS AT 11TH FEB. 2026</t>
  </si>
  <si>
    <t xml:space="preserve">         FORM THREE E FEES BALANCES AS AT 11TH FEB 2026</t>
  </si>
  <si>
    <t>FABIAN S WEKESA</t>
  </si>
  <si>
    <t>ALEXANDER WABWIRE</t>
  </si>
  <si>
    <t>ISAIAH KIPTOO</t>
  </si>
  <si>
    <t>DAVID SITATI KISIANG'ANI</t>
  </si>
  <si>
    <t>MOSES MATERE NALIANYA</t>
  </si>
  <si>
    <t>2 850</t>
  </si>
  <si>
    <t>5 000</t>
  </si>
  <si>
    <t xml:space="preserve">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</si>
</sst>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11"/>
      <color theme="1"/>
      <name val="Times New Roman"/>
      <family val="1"/>
    </font>
    <font>
      <u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Bodoni MT Black"/>
      <family val="1"/>
    </font>
    <font>
      <b/>
      <sz val="10"/>
      <color theme="1"/>
      <name val="Cambria"/>
      <family val="1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Bodoni MT Black"/>
      <family val="1"/>
    </font>
    <font>
      <b/>
      <sz val="11"/>
      <color theme="1"/>
      <name val="Bodoni MT"/>
      <family val="1"/>
    </font>
    <font>
      <b/>
      <sz val="11"/>
      <color theme="0"/>
      <name val="Calibri"/>
      <family val="2"/>
      <scheme val="minor"/>
    </font>
    <font>
      <sz val="10"/>
      <color theme="1"/>
      <name val="Bodoni MT Black"/>
      <family val="1"/>
    </font>
    <font>
      <sz val="12"/>
      <color theme="1"/>
      <name val="Bodoni MT"/>
      <family val="1"/>
    </font>
    <font>
      <sz val="11"/>
      <color theme="1"/>
      <name val="Bodoni MT"/>
      <family val="1"/>
    </font>
    <font>
      <b/>
      <sz val="11"/>
      <color rgb="FFFA7D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8" fillId="2" borderId="21" applyNumberFormat="0" applyAlignment="0" applyProtection="0"/>
    <xf numFmtId="0" fontId="22" fillId="4" borderId="22" applyNumberFormat="0" applyAlignment="0" applyProtection="0"/>
    <xf numFmtId="0" fontId="23" fillId="5" borderId="23" applyNumberFormat="0" applyFont="0" applyAlignment="0" applyProtection="0"/>
  </cellStyleXfs>
  <cellXfs count="15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4" xfId="0" applyBorder="1"/>
    <xf numFmtId="0" fontId="1" fillId="0" borderId="1" xfId="0" applyFont="1" applyBorder="1"/>
    <xf numFmtId="0" fontId="1" fillId="0" borderId="4" xfId="0" applyFont="1" applyBorder="1"/>
    <xf numFmtId="0" fontId="1" fillId="0" borderId="2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2" xfId="0" applyBorder="1"/>
    <xf numFmtId="0" fontId="1" fillId="0" borderId="3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8" xfId="0" applyFont="1" applyBorder="1"/>
    <xf numFmtId="0" fontId="0" fillId="0" borderId="0" xfId="0" applyFill="1" applyBorder="1"/>
    <xf numFmtId="0" fontId="0" fillId="0" borderId="2" xfId="0" applyFill="1" applyBorder="1"/>
    <xf numFmtId="3" fontId="0" fillId="0" borderId="0" xfId="0" applyNumberFormat="1"/>
    <xf numFmtId="0" fontId="0" fillId="0" borderId="12" xfId="0" applyFill="1" applyBorder="1"/>
    <xf numFmtId="0" fontId="1" fillId="0" borderId="11" xfId="0" applyFont="1" applyBorder="1"/>
    <xf numFmtId="0" fontId="1" fillId="0" borderId="0" xfId="0" applyFont="1" applyBorder="1"/>
    <xf numFmtId="0" fontId="1" fillId="0" borderId="12" xfId="0" applyFont="1" applyBorder="1"/>
    <xf numFmtId="0" fontId="1" fillId="0" borderId="5" xfId="0" applyFont="1" applyBorder="1"/>
    <xf numFmtId="3" fontId="1" fillId="0" borderId="12" xfId="0" applyNumberFormat="1" applyFont="1" applyBorder="1"/>
    <xf numFmtId="3" fontId="1" fillId="0" borderId="3" xfId="0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  <xf numFmtId="3" fontId="0" fillId="0" borderId="15" xfId="0" applyNumberFormat="1" applyBorder="1"/>
    <xf numFmtId="3" fontId="0" fillId="0" borderId="3" xfId="0" applyNumberFormat="1" applyBorder="1"/>
    <xf numFmtId="3" fontId="0" fillId="0" borderId="12" xfId="0" applyNumberFormat="1" applyBorder="1"/>
    <xf numFmtId="0" fontId="1" fillId="0" borderId="0" xfId="0" applyFont="1" applyFill="1" applyBorder="1"/>
    <xf numFmtId="0" fontId="0" fillId="0" borderId="16" xfId="0" applyBorder="1"/>
    <xf numFmtId="3" fontId="0" fillId="0" borderId="16" xfId="0" applyNumberFormat="1" applyBorder="1"/>
    <xf numFmtId="0" fontId="1" fillId="0" borderId="16" xfId="0" applyFont="1" applyBorder="1"/>
    <xf numFmtId="3" fontId="1" fillId="0" borderId="16" xfId="0" applyNumberFormat="1" applyFont="1" applyBorder="1"/>
    <xf numFmtId="0" fontId="1" fillId="0" borderId="7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6" xfId="0" applyFont="1" applyBorder="1"/>
    <xf numFmtId="3" fontId="1" fillId="0" borderId="15" xfId="0" applyNumberFormat="1" applyFont="1" applyBorder="1"/>
    <xf numFmtId="17" fontId="1" fillId="0" borderId="2" xfId="0" applyNumberFormat="1" applyFont="1" applyBorder="1"/>
    <xf numFmtId="0" fontId="0" fillId="0" borderId="16" xfId="0" applyFill="1" applyBorder="1"/>
    <xf numFmtId="0" fontId="0" fillId="0" borderId="9" xfId="0" applyFill="1" applyBorder="1"/>
    <xf numFmtId="3" fontId="0" fillId="0" borderId="10" xfId="0" applyNumberFormat="1" applyBorder="1"/>
    <xf numFmtId="0" fontId="0" fillId="0" borderId="17" xfId="0" applyBorder="1"/>
    <xf numFmtId="0" fontId="2" fillId="0" borderId="0" xfId="0" applyFont="1"/>
    <xf numFmtId="0" fontId="3" fillId="0" borderId="0" xfId="0" applyFont="1"/>
    <xf numFmtId="0" fontId="0" fillId="0" borderId="18" xfId="0" applyBorder="1"/>
    <xf numFmtId="0" fontId="0" fillId="0" borderId="19" xfId="0" applyBorder="1"/>
    <xf numFmtId="0" fontId="2" fillId="0" borderId="0" xfId="0" applyFont="1" applyBorder="1"/>
    <xf numFmtId="3" fontId="0" fillId="0" borderId="17" xfId="0" applyNumberFormat="1" applyBorder="1"/>
    <xf numFmtId="3" fontId="1" fillId="0" borderId="17" xfId="0" applyNumberFormat="1" applyFont="1" applyBorder="1"/>
    <xf numFmtId="3" fontId="1" fillId="0" borderId="4" xfId="0" applyNumberFormat="1" applyFont="1" applyBorder="1"/>
    <xf numFmtId="0" fontId="1" fillId="0" borderId="17" xfId="0" applyFont="1" applyBorder="1"/>
    <xf numFmtId="3" fontId="1" fillId="0" borderId="20" xfId="0" applyNumberFormat="1" applyFont="1" applyBorder="1"/>
    <xf numFmtId="0" fontId="0" fillId="0" borderId="0" xfId="0" quotePrefix="1"/>
    <xf numFmtId="0" fontId="4" fillId="0" borderId="16" xfId="0" applyFont="1" applyBorder="1"/>
    <xf numFmtId="0" fontId="4" fillId="0" borderId="0" xfId="0" applyFont="1"/>
    <xf numFmtId="0" fontId="5" fillId="0" borderId="0" xfId="0" applyFont="1"/>
    <xf numFmtId="0" fontId="0" fillId="0" borderId="16" xfId="0" applyFont="1" applyBorder="1"/>
    <xf numFmtId="3" fontId="0" fillId="0" borderId="16" xfId="0" applyNumberFormat="1" applyFont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Border="1"/>
    <xf numFmtId="0" fontId="10" fillId="0" borderId="16" xfId="0" applyFont="1" applyBorder="1"/>
    <xf numFmtId="3" fontId="10" fillId="0" borderId="16" xfId="0" applyNumberFormat="1" applyFont="1" applyBorder="1"/>
    <xf numFmtId="3" fontId="9" fillId="0" borderId="17" xfId="0" applyNumberFormat="1" applyFont="1" applyBorder="1"/>
    <xf numFmtId="3" fontId="9" fillId="0" borderId="0" xfId="0" applyNumberFormat="1" applyFont="1"/>
    <xf numFmtId="0" fontId="9" fillId="0" borderId="16" xfId="0" applyFont="1" applyBorder="1"/>
    <xf numFmtId="0" fontId="11" fillId="0" borderId="16" xfId="0" applyFont="1" applyBorder="1"/>
    <xf numFmtId="3" fontId="11" fillId="0" borderId="16" xfId="0" applyNumberFormat="1" applyFont="1" applyBorder="1"/>
    <xf numFmtId="0" fontId="11" fillId="0" borderId="16" xfId="0" applyFont="1" applyBorder="1" applyAlignment="1">
      <alignment horizontal="left"/>
    </xf>
    <xf numFmtId="0" fontId="11" fillId="0" borderId="17" xfId="0" applyFont="1" applyBorder="1"/>
    <xf numFmtId="0" fontId="11" fillId="0" borderId="19" xfId="0" applyFont="1" applyBorder="1"/>
    <xf numFmtId="0" fontId="11" fillId="0" borderId="18" xfId="0" applyFont="1" applyBorder="1"/>
    <xf numFmtId="0" fontId="12" fillId="0" borderId="0" xfId="0" applyFont="1"/>
    <xf numFmtId="0" fontId="13" fillId="0" borderId="0" xfId="0" applyFont="1" applyBorder="1"/>
    <xf numFmtId="0" fontId="13" fillId="0" borderId="0" xfId="0" applyFont="1"/>
    <xf numFmtId="0" fontId="14" fillId="0" borderId="16" xfId="0" applyFont="1" applyBorder="1"/>
    <xf numFmtId="3" fontId="9" fillId="0" borderId="16" xfId="0" applyNumberFormat="1" applyFont="1" applyBorder="1"/>
    <xf numFmtId="0" fontId="10" fillId="0" borderId="16" xfId="0" applyFont="1" applyFill="1" applyBorder="1"/>
    <xf numFmtId="3" fontId="10" fillId="0" borderId="16" xfId="0" applyNumberFormat="1" applyFont="1" applyFill="1" applyBorder="1"/>
    <xf numFmtId="3" fontId="14" fillId="0" borderId="16" xfId="0" applyNumberFormat="1" applyFont="1" applyBorder="1"/>
    <xf numFmtId="3" fontId="15" fillId="0" borderId="16" xfId="0" applyNumberFormat="1" applyFont="1" applyBorder="1"/>
    <xf numFmtId="0" fontId="16" fillId="0" borderId="16" xfId="0" applyFont="1" applyBorder="1"/>
    <xf numFmtId="0" fontId="12" fillId="0" borderId="16" xfId="0" applyFont="1" applyBorder="1"/>
    <xf numFmtId="0" fontId="11" fillId="0" borderId="16" xfId="0" applyFont="1" applyFill="1" applyBorder="1"/>
    <xf numFmtId="0" fontId="17" fillId="0" borderId="0" xfId="0" applyFont="1"/>
    <xf numFmtId="0" fontId="19" fillId="0" borderId="0" xfId="0" applyFont="1"/>
    <xf numFmtId="0" fontId="14" fillId="0" borderId="0" xfId="0" applyFont="1"/>
    <xf numFmtId="0" fontId="18" fillId="3" borderId="0" xfId="1" applyFill="1" applyBorder="1"/>
    <xf numFmtId="0" fontId="4" fillId="0" borderId="0" xfId="0" applyFont="1" applyBorder="1"/>
    <xf numFmtId="0" fontId="15" fillId="0" borderId="16" xfId="0" applyFont="1" applyBorder="1"/>
    <xf numFmtId="0" fontId="6" fillId="0" borderId="16" xfId="0" applyFont="1" applyBorder="1"/>
    <xf numFmtId="0" fontId="21" fillId="0" borderId="16" xfId="0" applyFont="1" applyBorder="1"/>
    <xf numFmtId="0" fontId="20" fillId="0" borderId="16" xfId="0" applyFont="1" applyBorder="1"/>
    <xf numFmtId="0" fontId="21" fillId="0" borderId="0" xfId="0" applyFont="1"/>
    <xf numFmtId="3" fontId="6" fillId="0" borderId="16" xfId="0" applyNumberFormat="1" applyFont="1" applyBorder="1"/>
    <xf numFmtId="3" fontId="12" fillId="0" borderId="16" xfId="0" applyNumberFormat="1" applyFont="1" applyBorder="1"/>
    <xf numFmtId="3" fontId="20" fillId="0" borderId="16" xfId="0" applyNumberFormat="1" applyFont="1" applyBorder="1"/>
    <xf numFmtId="0" fontId="11" fillId="0" borderId="0" xfId="0" applyFont="1" applyBorder="1"/>
    <xf numFmtId="0" fontId="22" fillId="4" borderId="22" xfId="2"/>
    <xf numFmtId="0" fontId="4" fillId="0" borderId="16" xfId="0" applyFont="1" applyBorder="1" applyAlignment="1">
      <alignment horizontal="left"/>
    </xf>
    <xf numFmtId="3" fontId="4" fillId="0" borderId="16" xfId="0" applyNumberFormat="1" applyFont="1" applyBorder="1"/>
    <xf numFmtId="0" fontId="17" fillId="0" borderId="16" xfId="0" applyFont="1" applyBorder="1"/>
    <xf numFmtId="0" fontId="0" fillId="5" borderId="23" xfId="3" applyFont="1"/>
    <xf numFmtId="0" fontId="8" fillId="0" borderId="16" xfId="0" applyFont="1" applyBorder="1"/>
    <xf numFmtId="3" fontId="16" fillId="0" borderId="16" xfId="0" applyNumberFormat="1" applyFont="1" applyBorder="1"/>
    <xf numFmtId="0" fontId="11" fillId="0" borderId="0" xfId="0" applyFont="1"/>
    <xf numFmtId="3" fontId="11" fillId="0" borderId="0" xfId="0" applyNumberFormat="1" applyFont="1"/>
    <xf numFmtId="3" fontId="4" fillId="0" borderId="0" xfId="0" applyNumberFormat="1" applyFont="1"/>
    <xf numFmtId="17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14" fontId="11" fillId="0" borderId="0" xfId="0" applyNumberFormat="1" applyFont="1" applyAlignment="1">
      <alignment horizontal="left"/>
    </xf>
    <xf numFmtId="0" fontId="24" fillId="0" borderId="16" xfId="0" applyFont="1" applyBorder="1"/>
    <xf numFmtId="0" fontId="24" fillId="0" borderId="24" xfId="0" applyFont="1" applyBorder="1"/>
    <xf numFmtId="0" fontId="8" fillId="0" borderId="24" xfId="0" applyFont="1" applyBorder="1"/>
    <xf numFmtId="0" fontId="4" fillId="0" borderId="18" xfId="0" applyFont="1" applyBorder="1"/>
    <xf numFmtId="0" fontId="8" fillId="0" borderId="19" xfId="0" applyFont="1" applyBorder="1"/>
    <xf numFmtId="0" fontId="8" fillId="0" borderId="17" xfId="0" applyFont="1" applyBorder="1"/>
    <xf numFmtId="0" fontId="8" fillId="0" borderId="18" xfId="0" applyFont="1" applyBorder="1"/>
    <xf numFmtId="0" fontId="8" fillId="0" borderId="28" xfId="0" applyFont="1" applyBorder="1"/>
    <xf numFmtId="3" fontId="8" fillId="0" borderId="16" xfId="0" applyNumberFormat="1" applyFont="1" applyBorder="1"/>
    <xf numFmtId="3" fontId="11" fillId="0" borderId="18" xfId="0" applyNumberFormat="1" applyFont="1" applyBorder="1"/>
    <xf numFmtId="0" fontId="11" fillId="0" borderId="25" xfId="0" applyFont="1" applyBorder="1"/>
    <xf numFmtId="0" fontId="11" fillId="0" borderId="28" xfId="0" applyFont="1" applyBorder="1"/>
    <xf numFmtId="0" fontId="11" fillId="0" borderId="0" xfId="0" applyFont="1" applyFill="1" applyBorder="1"/>
    <xf numFmtId="0" fontId="11" fillId="0" borderId="26" xfId="0" applyFont="1" applyBorder="1"/>
    <xf numFmtId="0" fontId="11" fillId="0" borderId="27" xfId="0" applyFont="1" applyBorder="1"/>
    <xf numFmtId="0" fontId="4" fillId="0" borderId="26" xfId="0" applyFont="1" applyBorder="1"/>
    <xf numFmtId="0" fontId="4" fillId="0" borderId="27" xfId="0" applyFont="1" applyBorder="1"/>
    <xf numFmtId="3" fontId="4" fillId="0" borderId="18" xfId="0" applyNumberFormat="1" applyFont="1" applyBorder="1"/>
    <xf numFmtId="0" fontId="11" fillId="0" borderId="19" xfId="0" applyFont="1" applyFill="1" applyBorder="1"/>
    <xf numFmtId="3" fontId="6" fillId="0" borderId="18" xfId="0" applyNumberFormat="1" applyFont="1" applyBorder="1"/>
    <xf numFmtId="0" fontId="11" fillId="0" borderId="27" xfId="0" applyFont="1" applyFill="1" applyBorder="1"/>
    <xf numFmtId="0" fontId="4" fillId="0" borderId="0" xfId="0" applyFont="1" applyBorder="1" applyAlignment="1">
      <alignment horizontal="left"/>
    </xf>
    <xf numFmtId="3" fontId="4" fillId="0" borderId="0" xfId="0" applyNumberFormat="1" applyFont="1" applyBorder="1"/>
    <xf numFmtId="3" fontId="11" fillId="0" borderId="18" xfId="0" applyNumberFormat="1" applyFont="1" applyBorder="1" applyAlignment="1">
      <alignment horizontal="right"/>
    </xf>
    <xf numFmtId="3" fontId="11" fillId="0" borderId="16" xfId="0" applyNumberFormat="1" applyFont="1" applyBorder="1" applyAlignment="1">
      <alignment horizontal="right"/>
    </xf>
  </cellXfs>
  <cellStyles count="4">
    <cellStyle name="Calculation" xfId="2" builtinId="22"/>
    <cellStyle name="Check Cell" xfId="1" builtinId="23"/>
    <cellStyle name="Normal" xfId="0" builtinId="0"/>
    <cellStyle name="Note" xfId="3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"/>
  <sheetViews>
    <sheetView zoomScale="120" zoomScaleNormal="120" workbookViewId="0">
      <selection activeCell="H18" sqref="H18"/>
    </sheetView>
  </sheetViews>
  <sheetFormatPr defaultRowHeight="15" x14ac:dyDescent="0.25"/>
  <cols>
    <col min="2" max="2" width="27.5703125" customWidth="1"/>
    <col min="3" max="3" width="0.28515625" customWidth="1"/>
    <col min="4" max="4" width="9.140625" hidden="1" customWidth="1"/>
    <col min="6" max="6" width="2.85546875" customWidth="1"/>
    <col min="7" max="7" width="7.28515625" customWidth="1"/>
    <col min="8" max="11" width="8.140625" customWidth="1"/>
  </cols>
  <sheetData>
    <row r="1" spans="1:1" x14ac:dyDescent="0.25">
      <c r="A1" s="24"/>
    </row>
  </sheetData>
  <sortState ref="B3:I61">
    <sortCondition descending="1" ref="I3:I6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31"/>
  <sheetViews>
    <sheetView workbookViewId="0">
      <selection activeCell="L16" sqref="L16"/>
    </sheetView>
  </sheetViews>
  <sheetFormatPr defaultRowHeight="15" x14ac:dyDescent="0.25"/>
  <sheetData>
    <row r="1" spans="1:7" ht="15.75" thickBot="1" x14ac:dyDescent="0.3">
      <c r="A1" s="6" t="s">
        <v>375</v>
      </c>
      <c r="B1" s="19"/>
      <c r="C1" s="9"/>
      <c r="D1" s="9"/>
      <c r="E1" s="9"/>
      <c r="F1" s="9"/>
      <c r="G1" s="20"/>
    </row>
    <row r="2" spans="1:7" ht="15.75" thickBot="1" x14ac:dyDescent="0.3">
      <c r="A2" s="6"/>
      <c r="B2" s="8" t="s">
        <v>7</v>
      </c>
      <c r="C2" s="19"/>
      <c r="D2" s="3"/>
      <c r="E2" s="19" t="s">
        <v>62</v>
      </c>
      <c r="F2" s="6"/>
      <c r="G2" s="20" t="s">
        <v>113</v>
      </c>
    </row>
    <row r="3" spans="1:7" ht="15.75" thickBot="1" x14ac:dyDescent="0.3">
      <c r="A3" s="6">
        <v>7</v>
      </c>
      <c r="B3" s="6" t="s">
        <v>10</v>
      </c>
      <c r="C3" s="19"/>
      <c r="D3" s="3"/>
      <c r="E3" s="19">
        <v>3411</v>
      </c>
      <c r="F3" s="6" t="s">
        <v>0</v>
      </c>
      <c r="G3" s="3">
        <v>23464</v>
      </c>
    </row>
    <row r="4" spans="1:7" ht="15.75" thickBot="1" x14ac:dyDescent="0.3">
      <c r="A4" s="13">
        <v>15</v>
      </c>
      <c r="B4" s="13" t="s">
        <v>14</v>
      </c>
      <c r="C4" s="14"/>
      <c r="D4" s="15"/>
      <c r="E4" s="14">
        <v>3398</v>
      </c>
      <c r="F4" s="13"/>
      <c r="G4" s="38">
        <v>22704</v>
      </c>
    </row>
    <row r="5" spans="1:7" ht="15.75" thickBot="1" x14ac:dyDescent="0.3">
      <c r="A5" s="6">
        <v>27</v>
      </c>
      <c r="B5" s="6" t="s">
        <v>9</v>
      </c>
      <c r="C5" s="19"/>
      <c r="D5" s="3"/>
      <c r="E5" s="19">
        <v>3363</v>
      </c>
      <c r="F5" s="6" t="s">
        <v>0</v>
      </c>
      <c r="G5" s="3">
        <v>13000</v>
      </c>
    </row>
    <row r="6" spans="1:7" ht="15.75" thickBot="1" x14ac:dyDescent="0.3">
      <c r="A6" s="13">
        <v>19</v>
      </c>
      <c r="B6" s="13" t="s">
        <v>157</v>
      </c>
      <c r="C6" s="14"/>
      <c r="D6" s="15"/>
      <c r="E6" s="14">
        <v>3728</v>
      </c>
      <c r="F6" s="13"/>
      <c r="G6" s="38">
        <v>18774</v>
      </c>
    </row>
    <row r="7" spans="1:7" ht="15.75" thickBot="1" x14ac:dyDescent="0.3">
      <c r="A7" s="6">
        <v>24</v>
      </c>
      <c r="B7" s="6" t="s">
        <v>11</v>
      </c>
      <c r="C7" s="19"/>
      <c r="D7" s="3"/>
      <c r="E7" s="19">
        <v>3380</v>
      </c>
      <c r="F7" s="6" t="s">
        <v>0</v>
      </c>
      <c r="G7" s="37">
        <v>16860</v>
      </c>
    </row>
    <row r="8" spans="1:7" ht="15.75" thickBot="1" x14ac:dyDescent="0.3">
      <c r="A8" s="13">
        <v>17</v>
      </c>
      <c r="B8" s="13" t="s">
        <v>177</v>
      </c>
      <c r="C8" s="14"/>
      <c r="D8" s="15"/>
      <c r="E8" s="14">
        <v>3827</v>
      </c>
      <c r="F8" s="13" t="s">
        <v>0</v>
      </c>
      <c r="G8" s="15">
        <v>8650</v>
      </c>
    </row>
    <row r="9" spans="1:7" ht="15.75" thickBot="1" x14ac:dyDescent="0.3">
      <c r="A9" s="6">
        <v>4</v>
      </c>
      <c r="B9" s="6" t="s">
        <v>124</v>
      </c>
      <c r="C9" s="19"/>
      <c r="D9" s="3"/>
      <c r="E9" s="25">
        <v>3670</v>
      </c>
      <c r="F9" s="6" t="s">
        <v>0</v>
      </c>
      <c r="G9" s="3">
        <v>8500</v>
      </c>
    </row>
    <row r="10" spans="1:7" x14ac:dyDescent="0.25">
      <c r="A10" s="10">
        <v>8</v>
      </c>
      <c r="B10" s="10" t="s">
        <v>51</v>
      </c>
      <c r="C10" s="11"/>
      <c r="D10" s="12"/>
      <c r="E10" s="52">
        <v>3413</v>
      </c>
      <c r="F10" s="10" t="s">
        <v>0</v>
      </c>
      <c r="G10" s="53">
        <v>8000</v>
      </c>
    </row>
    <row r="11" spans="1:7" x14ac:dyDescent="0.25">
      <c r="A11" s="40">
        <v>38</v>
      </c>
      <c r="B11" s="40" t="s">
        <v>224</v>
      </c>
      <c r="C11" s="40"/>
      <c r="D11" s="40"/>
      <c r="E11" s="40">
        <v>3878</v>
      </c>
      <c r="F11" s="40" t="s">
        <v>0</v>
      </c>
      <c r="G11" s="40">
        <v>8000</v>
      </c>
    </row>
    <row r="12" spans="1:7" x14ac:dyDescent="0.25">
      <c r="A12" s="40">
        <v>39</v>
      </c>
      <c r="B12" s="40" t="s">
        <v>225</v>
      </c>
      <c r="C12" s="40"/>
      <c r="D12" s="40"/>
      <c r="E12" s="40">
        <v>3293</v>
      </c>
      <c r="F12" s="40" t="s">
        <v>0</v>
      </c>
      <c r="G12" s="40">
        <v>8000</v>
      </c>
    </row>
    <row r="13" spans="1:7" x14ac:dyDescent="0.25">
      <c r="A13" s="40">
        <v>22</v>
      </c>
      <c r="B13" s="40" t="s">
        <v>121</v>
      </c>
      <c r="C13" s="40"/>
      <c r="D13" s="40"/>
      <c r="E13" s="40">
        <v>3713</v>
      </c>
      <c r="F13" s="40" t="s">
        <v>0</v>
      </c>
      <c r="G13" s="41">
        <v>6320</v>
      </c>
    </row>
    <row r="14" spans="1:7" x14ac:dyDescent="0.25">
      <c r="A14" s="40">
        <v>13</v>
      </c>
      <c r="B14" s="40" t="s">
        <v>74</v>
      </c>
      <c r="C14" s="40"/>
      <c r="D14" s="40"/>
      <c r="E14" s="51">
        <v>3534</v>
      </c>
      <c r="F14" s="40" t="s">
        <v>0</v>
      </c>
      <c r="G14" s="41">
        <v>5900</v>
      </c>
    </row>
    <row r="15" spans="1:7" x14ac:dyDescent="0.25">
      <c r="A15" s="40">
        <v>12</v>
      </c>
      <c r="B15" s="40" t="s">
        <v>134</v>
      </c>
      <c r="C15" s="40"/>
      <c r="D15" s="40"/>
      <c r="E15" s="40">
        <v>3687</v>
      </c>
      <c r="F15" s="40" t="s">
        <v>0</v>
      </c>
      <c r="G15" s="41">
        <v>4340</v>
      </c>
    </row>
    <row r="16" spans="1:7" ht="15.75" thickBot="1" x14ac:dyDescent="0.3">
      <c r="A16" s="40">
        <v>31</v>
      </c>
      <c r="B16" s="40" t="s">
        <v>146</v>
      </c>
      <c r="C16" s="40"/>
      <c r="D16" s="40"/>
      <c r="E16" s="40">
        <v>3718</v>
      </c>
      <c r="F16" s="40" t="s">
        <v>0</v>
      </c>
      <c r="G16" s="41">
        <v>4000</v>
      </c>
    </row>
    <row r="17" spans="1:12" ht="15.75" thickBot="1" x14ac:dyDescent="0.3">
      <c r="A17" s="6">
        <v>21</v>
      </c>
      <c r="B17" s="6" t="s">
        <v>145</v>
      </c>
      <c r="C17" s="19"/>
      <c r="D17" s="3"/>
      <c r="E17" s="19">
        <v>3717</v>
      </c>
      <c r="F17" s="6" t="s">
        <v>0</v>
      </c>
      <c r="G17" s="37">
        <v>3200</v>
      </c>
    </row>
    <row r="18" spans="1:12" ht="15.75" thickBot="1" x14ac:dyDescent="0.3">
      <c r="A18" s="6">
        <v>20</v>
      </c>
      <c r="B18" s="6" t="s">
        <v>12</v>
      </c>
      <c r="C18" s="19" t="s">
        <v>123</v>
      </c>
      <c r="D18" s="3"/>
      <c r="E18" s="25">
        <v>3382</v>
      </c>
      <c r="F18" s="6"/>
      <c r="G18" s="3">
        <v>2710</v>
      </c>
    </row>
    <row r="19" spans="1:12" ht="15.75" thickBot="1" x14ac:dyDescent="0.3">
      <c r="A19" s="6">
        <v>34</v>
      </c>
      <c r="B19" s="6" t="s">
        <v>173</v>
      </c>
      <c r="C19" s="19"/>
      <c r="D19" s="3"/>
      <c r="E19" s="19">
        <v>3677</v>
      </c>
      <c r="F19" s="6"/>
      <c r="G19" s="3">
        <v>1500</v>
      </c>
    </row>
    <row r="20" spans="1:12" ht="15.75" thickBot="1" x14ac:dyDescent="0.3">
      <c r="A20" s="6">
        <v>14</v>
      </c>
      <c r="B20" s="6" t="s">
        <v>169</v>
      </c>
      <c r="C20" s="19"/>
      <c r="D20" s="3"/>
      <c r="E20" s="19">
        <v>3235</v>
      </c>
      <c r="F20" s="6" t="s">
        <v>0</v>
      </c>
      <c r="G20" s="3">
        <v>767</v>
      </c>
    </row>
    <row r="21" spans="1:12" ht="15.75" thickBot="1" x14ac:dyDescent="0.3">
      <c r="A21" s="6">
        <v>18</v>
      </c>
      <c r="B21" s="6" t="s">
        <v>176</v>
      </c>
      <c r="C21" s="19"/>
      <c r="D21" s="3"/>
      <c r="E21" s="19">
        <v>3041</v>
      </c>
      <c r="F21" s="6" t="s">
        <v>0</v>
      </c>
      <c r="G21" s="3">
        <v>704</v>
      </c>
    </row>
    <row r="22" spans="1:12" ht="15.75" thickBot="1" x14ac:dyDescent="0.3">
      <c r="A22" s="6">
        <v>28</v>
      </c>
      <c r="B22" s="6" t="s">
        <v>8</v>
      </c>
      <c r="C22" s="19"/>
      <c r="D22" s="3"/>
      <c r="E22" s="19">
        <v>3412</v>
      </c>
      <c r="F22" s="6" t="s">
        <v>0</v>
      </c>
      <c r="G22" s="3">
        <v>684</v>
      </c>
    </row>
    <row r="23" spans="1:12" ht="15.75" thickBot="1" x14ac:dyDescent="0.3">
      <c r="A23" s="6">
        <v>30</v>
      </c>
      <c r="B23" s="6" t="s">
        <v>17</v>
      </c>
      <c r="C23" s="19"/>
      <c r="D23" s="3"/>
      <c r="E23" s="19">
        <v>3374</v>
      </c>
      <c r="F23" s="6"/>
      <c r="G23" s="3">
        <v>614</v>
      </c>
    </row>
    <row r="24" spans="1:12" ht="15.75" thickBot="1" x14ac:dyDescent="0.3">
      <c r="A24" s="6">
        <v>23</v>
      </c>
      <c r="B24" s="6" t="s">
        <v>18</v>
      </c>
      <c r="C24" s="19"/>
      <c r="D24" s="3"/>
      <c r="E24" s="19">
        <v>3404</v>
      </c>
      <c r="F24" s="6" t="s">
        <v>0</v>
      </c>
      <c r="G24" s="3">
        <v>0</v>
      </c>
    </row>
    <row r="25" spans="1:12" ht="15.75" thickBot="1" x14ac:dyDescent="0.3">
      <c r="A25" s="6">
        <v>26</v>
      </c>
      <c r="B25" s="6" t="s">
        <v>15</v>
      </c>
      <c r="C25" s="19"/>
      <c r="D25" s="3"/>
      <c r="E25" s="19">
        <v>3367</v>
      </c>
      <c r="F25" s="6" t="s">
        <v>0</v>
      </c>
      <c r="G25" s="3">
        <v>0</v>
      </c>
    </row>
    <row r="26" spans="1:12" ht="15.75" thickBot="1" x14ac:dyDescent="0.3">
      <c r="A26" s="6">
        <v>35</v>
      </c>
      <c r="B26" s="6" t="s">
        <v>175</v>
      </c>
      <c r="C26" s="19"/>
      <c r="D26" s="3"/>
      <c r="E26" s="19">
        <v>3266</v>
      </c>
      <c r="F26" s="6"/>
      <c r="G26" s="3">
        <v>0</v>
      </c>
    </row>
    <row r="27" spans="1:12" ht="15.75" thickBot="1" x14ac:dyDescent="0.3">
      <c r="A27" s="6">
        <v>37</v>
      </c>
      <c r="B27" s="6" t="s">
        <v>16</v>
      </c>
      <c r="C27" s="19"/>
      <c r="D27" s="3"/>
      <c r="E27" s="19">
        <v>3361</v>
      </c>
      <c r="F27" s="6" t="s">
        <v>0</v>
      </c>
      <c r="G27" s="3">
        <v>0</v>
      </c>
    </row>
    <row r="28" spans="1:12" ht="15.75" thickBot="1" x14ac:dyDescent="0.3">
      <c r="A28" s="6">
        <v>29</v>
      </c>
      <c r="B28" s="6" t="s">
        <v>168</v>
      </c>
      <c r="C28" s="19"/>
      <c r="D28" s="3"/>
      <c r="E28" s="19">
        <v>3224</v>
      </c>
      <c r="F28" s="6" t="s">
        <v>0</v>
      </c>
      <c r="G28" s="3">
        <v>0</v>
      </c>
    </row>
    <row r="29" spans="1:12" ht="15.75" thickBot="1" x14ac:dyDescent="0.3">
      <c r="A29" s="6">
        <v>33</v>
      </c>
      <c r="B29" s="6" t="s">
        <v>19</v>
      </c>
      <c r="C29" s="19"/>
      <c r="D29" s="3"/>
      <c r="E29" s="19">
        <v>3384</v>
      </c>
      <c r="F29" s="6" t="s">
        <v>0</v>
      </c>
      <c r="G29" s="3">
        <v>0</v>
      </c>
      <c r="L29" t="s">
        <v>278</v>
      </c>
    </row>
    <row r="30" spans="1:12" ht="15.75" thickBot="1" x14ac:dyDescent="0.3">
      <c r="A30" s="6">
        <v>38</v>
      </c>
      <c r="B30" s="6" t="s">
        <v>223</v>
      </c>
      <c r="C30" s="19"/>
      <c r="D30" s="3"/>
      <c r="E30" s="19"/>
      <c r="F30" s="6" t="s">
        <v>0</v>
      </c>
      <c r="G30" s="3">
        <v>0</v>
      </c>
      <c r="J30" t="s">
        <v>279</v>
      </c>
    </row>
    <row r="31" spans="1:12" ht="15.75" thickBot="1" x14ac:dyDescent="0.3">
      <c r="A31" s="6"/>
      <c r="B31" s="6"/>
      <c r="C31" s="19"/>
      <c r="D31" s="3"/>
      <c r="E31" s="19"/>
      <c r="F31" s="6"/>
      <c r="G31" s="3">
        <f>SUM(G3:G30)</f>
        <v>166691</v>
      </c>
    </row>
  </sheetData>
  <sortState ref="A3:I30">
    <sortCondition descending="1" ref="G3:G30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30"/>
  <sheetViews>
    <sheetView workbookViewId="0">
      <selection activeCell="P18" sqref="P18"/>
    </sheetView>
  </sheetViews>
  <sheetFormatPr defaultRowHeight="15" x14ac:dyDescent="0.25"/>
  <sheetData>
    <row r="1" spans="1:8" ht="15.75" thickBot="1" x14ac:dyDescent="0.3">
      <c r="A1" s="6" t="s">
        <v>376</v>
      </c>
      <c r="B1" s="8"/>
      <c r="C1" s="9"/>
      <c r="D1" s="9"/>
      <c r="E1" s="9"/>
      <c r="F1" s="50"/>
      <c r="G1" s="3"/>
    </row>
    <row r="2" spans="1:8" ht="15.75" thickBot="1" x14ac:dyDescent="0.3">
      <c r="A2" s="2"/>
      <c r="B2" s="8" t="s">
        <v>7</v>
      </c>
      <c r="C2" s="9"/>
      <c r="D2" s="20"/>
      <c r="E2" s="20" t="s">
        <v>62</v>
      </c>
      <c r="F2" s="7"/>
      <c r="G2" s="20" t="s">
        <v>113</v>
      </c>
    </row>
    <row r="3" spans="1:8" ht="15.75" thickBot="1" x14ac:dyDescent="0.3">
      <c r="A3" s="4">
        <v>4</v>
      </c>
      <c r="B3" s="13" t="s">
        <v>93</v>
      </c>
      <c r="C3" s="14"/>
      <c r="D3" s="15"/>
      <c r="E3" s="15">
        <v>3538</v>
      </c>
      <c r="F3" s="4" t="s">
        <v>0</v>
      </c>
      <c r="G3" s="15">
        <v>51324</v>
      </c>
    </row>
    <row r="4" spans="1:8" ht="15.75" thickBot="1" x14ac:dyDescent="0.3">
      <c r="A4" s="2">
        <v>1</v>
      </c>
      <c r="B4" s="6" t="s">
        <v>21</v>
      </c>
      <c r="C4" s="19"/>
      <c r="D4" s="3"/>
      <c r="E4" s="3">
        <v>3428</v>
      </c>
      <c r="F4" s="2" t="s">
        <v>0</v>
      </c>
      <c r="G4" s="37">
        <v>41830</v>
      </c>
    </row>
    <row r="5" spans="1:8" ht="15.75" thickBot="1" x14ac:dyDescent="0.3">
      <c r="A5" s="4">
        <v>13</v>
      </c>
      <c r="B5" s="13" t="s">
        <v>25</v>
      </c>
      <c r="C5" s="14"/>
      <c r="D5" s="15"/>
      <c r="E5" s="15">
        <v>3524</v>
      </c>
      <c r="F5" s="4" t="s">
        <v>0</v>
      </c>
      <c r="G5" s="15">
        <v>39934</v>
      </c>
    </row>
    <row r="6" spans="1:8" ht="15.75" thickBot="1" x14ac:dyDescent="0.3">
      <c r="A6" s="2">
        <v>2</v>
      </c>
      <c r="B6" s="6" t="s">
        <v>22</v>
      </c>
      <c r="C6" s="19"/>
      <c r="D6" s="3"/>
      <c r="E6" s="3">
        <v>3419</v>
      </c>
      <c r="F6" s="2" t="s">
        <v>0</v>
      </c>
      <c r="G6" s="37">
        <v>28742</v>
      </c>
    </row>
    <row r="7" spans="1:8" x14ac:dyDescent="0.25">
      <c r="A7" s="4">
        <v>8</v>
      </c>
      <c r="B7" s="13" t="s">
        <v>23</v>
      </c>
      <c r="C7" s="14"/>
      <c r="D7" s="15" t="s">
        <v>1</v>
      </c>
      <c r="E7" s="15">
        <v>3405</v>
      </c>
      <c r="F7" s="4"/>
      <c r="G7" s="15">
        <v>23416</v>
      </c>
    </row>
    <row r="8" spans="1:8" ht="15.75" thickBot="1" x14ac:dyDescent="0.3">
      <c r="A8" s="4">
        <v>22</v>
      </c>
      <c r="B8" s="13" t="s">
        <v>26</v>
      </c>
      <c r="C8" s="14"/>
      <c r="D8" s="15"/>
      <c r="E8" s="15">
        <v>3532</v>
      </c>
      <c r="F8" s="4"/>
      <c r="G8" s="15">
        <v>23038</v>
      </c>
    </row>
    <row r="9" spans="1:8" ht="15.75" thickBot="1" x14ac:dyDescent="0.3">
      <c r="A9" s="2">
        <v>10</v>
      </c>
      <c r="B9" s="6" t="s">
        <v>160</v>
      </c>
      <c r="C9" s="19"/>
      <c r="D9" s="3"/>
      <c r="E9" s="3">
        <v>3735</v>
      </c>
      <c r="F9" s="2" t="s">
        <v>0</v>
      </c>
      <c r="G9" s="37">
        <v>17180</v>
      </c>
    </row>
    <row r="10" spans="1:8" ht="15.75" thickBot="1" x14ac:dyDescent="0.3">
      <c r="A10" s="4">
        <v>20</v>
      </c>
      <c r="B10" s="13" t="s">
        <v>150</v>
      </c>
      <c r="C10" s="14"/>
      <c r="D10" s="15"/>
      <c r="E10" s="15">
        <v>3719</v>
      </c>
      <c r="F10" s="4" t="s">
        <v>0</v>
      </c>
      <c r="G10" s="15">
        <v>14190</v>
      </c>
    </row>
    <row r="11" spans="1:8" ht="15.75" thickBot="1" x14ac:dyDescent="0.3">
      <c r="A11" s="2">
        <v>19</v>
      </c>
      <c r="B11" s="6" t="s">
        <v>24</v>
      </c>
      <c r="C11" s="19"/>
      <c r="D11" s="3"/>
      <c r="E11" s="3">
        <v>3399</v>
      </c>
      <c r="F11" s="2"/>
      <c r="G11" s="3">
        <v>12534</v>
      </c>
    </row>
    <row r="12" spans="1:8" ht="15.75" thickBot="1" x14ac:dyDescent="0.3">
      <c r="A12" s="2">
        <v>3</v>
      </c>
      <c r="B12" s="6" t="s">
        <v>29</v>
      </c>
      <c r="C12" s="19"/>
      <c r="D12" s="3"/>
      <c r="E12" s="3">
        <v>3529</v>
      </c>
      <c r="F12" s="2" t="s">
        <v>0</v>
      </c>
      <c r="G12" s="3">
        <v>10924</v>
      </c>
    </row>
    <row r="13" spans="1:8" ht="15.75" thickBot="1" x14ac:dyDescent="0.3">
      <c r="A13" s="4">
        <v>17</v>
      </c>
      <c r="B13" s="13" t="s">
        <v>141</v>
      </c>
      <c r="C13" s="14"/>
      <c r="D13" s="15"/>
      <c r="E13" s="15">
        <v>3340</v>
      </c>
      <c r="F13" s="4"/>
      <c r="G13" s="15">
        <v>6434</v>
      </c>
    </row>
    <row r="14" spans="1:8" ht="15.75" thickBot="1" x14ac:dyDescent="0.3">
      <c r="A14" s="2">
        <v>39</v>
      </c>
      <c r="B14" s="6" t="s">
        <v>280</v>
      </c>
      <c r="C14" s="19"/>
      <c r="D14" s="3"/>
      <c r="E14" s="3"/>
      <c r="F14" s="2"/>
      <c r="G14" s="3">
        <v>4000</v>
      </c>
      <c r="H14" s="27"/>
    </row>
    <row r="15" spans="1:8" ht="15.75" thickBot="1" x14ac:dyDescent="0.3">
      <c r="A15" s="4">
        <v>37</v>
      </c>
      <c r="B15" s="13" t="s">
        <v>34</v>
      </c>
      <c r="C15" s="14"/>
      <c r="D15" s="15"/>
      <c r="E15" s="15">
        <v>3407</v>
      </c>
      <c r="F15" s="4" t="s">
        <v>0</v>
      </c>
      <c r="G15" s="15">
        <v>2500</v>
      </c>
    </row>
    <row r="16" spans="1:8" ht="15.75" thickBot="1" x14ac:dyDescent="0.3">
      <c r="A16" s="2">
        <v>32</v>
      </c>
      <c r="B16" s="6" t="s">
        <v>32</v>
      </c>
      <c r="C16" s="19"/>
      <c r="D16" s="3"/>
      <c r="E16" s="3">
        <v>3389</v>
      </c>
      <c r="F16" s="2" t="s">
        <v>0</v>
      </c>
      <c r="G16" s="3">
        <v>2006</v>
      </c>
    </row>
    <row r="17" spans="1:7" ht="15.75" thickBot="1" x14ac:dyDescent="0.3">
      <c r="A17" s="5">
        <v>29</v>
      </c>
      <c r="B17" s="16" t="s">
        <v>115</v>
      </c>
      <c r="C17" s="17"/>
      <c r="D17" s="18"/>
      <c r="E17" s="18">
        <v>3391</v>
      </c>
      <c r="F17" s="5"/>
      <c r="G17" s="36">
        <v>1854</v>
      </c>
    </row>
    <row r="18" spans="1:7" ht="15.75" thickBot="1" x14ac:dyDescent="0.3">
      <c r="A18" s="5">
        <v>31</v>
      </c>
      <c r="B18" s="16" t="s">
        <v>27</v>
      </c>
      <c r="C18" s="17"/>
      <c r="D18" s="18"/>
      <c r="E18" s="18">
        <v>3383</v>
      </c>
      <c r="F18" s="5" t="s">
        <v>0</v>
      </c>
      <c r="G18" s="18">
        <v>1561</v>
      </c>
    </row>
    <row r="19" spans="1:7" ht="15.75" thickBot="1" x14ac:dyDescent="0.3">
      <c r="A19" s="5">
        <v>16</v>
      </c>
      <c r="B19" s="16" t="s">
        <v>28</v>
      </c>
      <c r="C19" s="17"/>
      <c r="D19" s="18"/>
      <c r="E19" s="18">
        <v>3379</v>
      </c>
      <c r="F19" s="5" t="s">
        <v>0</v>
      </c>
      <c r="G19" s="18">
        <v>1500</v>
      </c>
    </row>
    <row r="20" spans="1:7" ht="15.75" thickBot="1" x14ac:dyDescent="0.3">
      <c r="A20" s="5">
        <v>18</v>
      </c>
      <c r="B20" s="16" t="s">
        <v>135</v>
      </c>
      <c r="C20" s="17"/>
      <c r="D20" s="18"/>
      <c r="E20" s="18">
        <v>3684</v>
      </c>
      <c r="F20" s="5" t="s">
        <v>0</v>
      </c>
      <c r="G20" s="18">
        <v>1455</v>
      </c>
    </row>
    <row r="21" spans="1:7" ht="15.75" thickBot="1" x14ac:dyDescent="0.3">
      <c r="A21" s="5">
        <v>24</v>
      </c>
      <c r="B21" s="16" t="s">
        <v>33</v>
      </c>
      <c r="C21" s="17"/>
      <c r="D21" s="18"/>
      <c r="E21" s="18">
        <v>3372</v>
      </c>
      <c r="F21" s="5" t="s">
        <v>0</v>
      </c>
      <c r="G21" s="36">
        <v>269</v>
      </c>
    </row>
    <row r="22" spans="1:7" ht="15.75" thickBot="1" x14ac:dyDescent="0.3">
      <c r="A22" s="5">
        <v>21</v>
      </c>
      <c r="B22" s="16" t="s">
        <v>130</v>
      </c>
      <c r="C22" s="17"/>
      <c r="D22" s="18"/>
      <c r="E22" s="18">
        <v>3676</v>
      </c>
      <c r="F22" s="5"/>
      <c r="G22" s="18">
        <v>0</v>
      </c>
    </row>
    <row r="23" spans="1:7" ht="15.75" thickBot="1" x14ac:dyDescent="0.3">
      <c r="A23" s="5">
        <v>27</v>
      </c>
      <c r="B23" s="16" t="s">
        <v>147</v>
      </c>
      <c r="C23" s="17"/>
      <c r="D23" s="18"/>
      <c r="E23" s="18">
        <v>3720</v>
      </c>
      <c r="F23" s="5" t="s">
        <v>0</v>
      </c>
      <c r="G23" s="36">
        <v>0</v>
      </c>
    </row>
    <row r="24" spans="1:7" ht="15.75" thickBot="1" x14ac:dyDescent="0.3">
      <c r="A24" s="5">
        <v>38</v>
      </c>
      <c r="B24" s="16" t="s">
        <v>166</v>
      </c>
      <c r="C24" s="17"/>
      <c r="D24" s="18"/>
      <c r="E24" s="18">
        <v>3750</v>
      </c>
      <c r="F24" s="5"/>
      <c r="G24" s="18">
        <v>0</v>
      </c>
    </row>
    <row r="25" spans="1:7" ht="15.75" thickBot="1" x14ac:dyDescent="0.3">
      <c r="A25" s="5">
        <v>35</v>
      </c>
      <c r="B25" s="16" t="s">
        <v>159</v>
      </c>
      <c r="C25" s="17"/>
      <c r="D25" s="18"/>
      <c r="E25" s="18">
        <v>3731</v>
      </c>
      <c r="F25" s="5" t="s">
        <v>0</v>
      </c>
      <c r="G25" s="36">
        <v>0</v>
      </c>
    </row>
    <row r="26" spans="1:7" ht="15.75" thickBot="1" x14ac:dyDescent="0.3">
      <c r="A26" s="5">
        <v>15</v>
      </c>
      <c r="B26" s="16" t="s">
        <v>142</v>
      </c>
      <c r="C26" s="17"/>
      <c r="D26" s="18"/>
      <c r="E26" s="18">
        <v>3715</v>
      </c>
      <c r="F26" s="5" t="s">
        <v>0</v>
      </c>
      <c r="G26" s="18">
        <v>0</v>
      </c>
    </row>
    <row r="27" spans="1:7" ht="15.75" thickBot="1" x14ac:dyDescent="0.3">
      <c r="A27" s="5">
        <v>11</v>
      </c>
      <c r="B27" s="16" t="s">
        <v>30</v>
      </c>
      <c r="C27" s="17"/>
      <c r="D27" s="18"/>
      <c r="E27" s="18">
        <v>3362</v>
      </c>
      <c r="F27" s="5" t="s">
        <v>0</v>
      </c>
      <c r="G27" s="18">
        <v>0</v>
      </c>
    </row>
    <row r="28" spans="1:7" ht="15.75" thickBot="1" x14ac:dyDescent="0.3">
      <c r="A28" s="5">
        <v>28</v>
      </c>
      <c r="B28" s="16" t="s">
        <v>156</v>
      </c>
      <c r="C28" s="17"/>
      <c r="D28" s="18"/>
      <c r="E28" s="18"/>
      <c r="F28" s="5"/>
      <c r="G28" s="18">
        <v>0</v>
      </c>
    </row>
    <row r="29" spans="1:7" ht="15.75" thickBot="1" x14ac:dyDescent="0.3">
      <c r="A29" s="5">
        <v>34</v>
      </c>
      <c r="B29" s="16" t="s">
        <v>31</v>
      </c>
      <c r="C29" s="17"/>
      <c r="D29" s="18"/>
      <c r="E29" s="18">
        <v>3370</v>
      </c>
      <c r="F29" s="5" t="s">
        <v>0</v>
      </c>
      <c r="G29" s="18">
        <v>0</v>
      </c>
    </row>
    <row r="30" spans="1:7" ht="15.75" thickBot="1" x14ac:dyDescent="0.3">
      <c r="A30" s="5"/>
      <c r="B30" s="16"/>
      <c r="C30" s="17"/>
      <c r="D30" s="18"/>
      <c r="E30" s="18"/>
      <c r="F30" s="5" t="s">
        <v>2</v>
      </c>
      <c r="G30" s="18">
        <f>SUM(G3:G29)</f>
        <v>284691</v>
      </c>
    </row>
  </sheetData>
  <sortState ref="A3:G29">
    <sortCondition descending="1" ref="G3:G29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Q50"/>
  <sheetViews>
    <sheetView topLeftCell="A2" workbookViewId="0">
      <selection activeCell="O37" sqref="O37"/>
    </sheetView>
  </sheetViews>
  <sheetFormatPr defaultRowHeight="15" x14ac:dyDescent="0.25"/>
  <cols>
    <col min="5" max="5" width="5.85546875" customWidth="1"/>
    <col min="7" max="7" width="6.28515625" customWidth="1"/>
  </cols>
  <sheetData>
    <row r="1" spans="1:17" ht="15.75" thickBot="1" x14ac:dyDescent="0.3">
      <c r="A1" s="23" t="s">
        <v>161</v>
      </c>
      <c r="B1" s="8" t="s">
        <v>162</v>
      </c>
      <c r="C1" s="9"/>
      <c r="D1" s="9"/>
      <c r="E1" s="9"/>
      <c r="F1" s="9"/>
      <c r="G1" s="9"/>
      <c r="H1" s="9"/>
      <c r="I1" s="20"/>
      <c r="J1" s="20"/>
      <c r="K1" s="1"/>
      <c r="L1" s="1"/>
      <c r="M1" s="1"/>
      <c r="N1" s="1"/>
      <c r="O1" s="1"/>
      <c r="P1" s="1"/>
      <c r="Q1" s="1"/>
    </row>
    <row r="2" spans="1:17" ht="15.75" thickBot="1" x14ac:dyDescent="0.3">
      <c r="A2" s="7"/>
      <c r="B2" s="8" t="s">
        <v>7</v>
      </c>
      <c r="C2" s="9"/>
      <c r="D2" s="9"/>
      <c r="E2" s="20"/>
      <c r="F2" s="20" t="s">
        <v>62</v>
      </c>
      <c r="G2" s="7"/>
      <c r="H2" s="20" t="s">
        <v>114</v>
      </c>
      <c r="I2" s="20" t="s">
        <v>4</v>
      </c>
      <c r="J2" s="20" t="s">
        <v>113</v>
      </c>
      <c r="K2" s="1"/>
      <c r="L2" s="1"/>
      <c r="M2" s="1"/>
      <c r="N2" s="1"/>
      <c r="O2" s="1"/>
      <c r="P2" s="1"/>
      <c r="Q2" s="1"/>
    </row>
    <row r="3" spans="1:17" ht="15.75" thickBot="1" x14ac:dyDescent="0.3">
      <c r="A3" s="28" t="s">
        <v>2</v>
      </c>
      <c r="B3" s="28" t="s">
        <v>38</v>
      </c>
      <c r="C3" s="29"/>
      <c r="D3" s="29"/>
      <c r="E3" s="30"/>
      <c r="F3" s="30">
        <v>3341</v>
      </c>
      <c r="G3" s="31" t="s">
        <v>0</v>
      </c>
      <c r="H3" s="32">
        <v>30000</v>
      </c>
      <c r="I3" s="30">
        <v>13510</v>
      </c>
      <c r="J3" s="32">
        <v>43510</v>
      </c>
      <c r="K3" s="1"/>
      <c r="L3" s="1"/>
      <c r="M3" s="1"/>
      <c r="N3" s="1"/>
      <c r="O3" s="1"/>
      <c r="P3" s="1"/>
      <c r="Q3" s="1"/>
    </row>
    <row r="4" spans="1:17" ht="15.75" thickBot="1" x14ac:dyDescent="0.3">
      <c r="A4" s="8">
        <v>7</v>
      </c>
      <c r="B4" s="8" t="s">
        <v>35</v>
      </c>
      <c r="C4" s="9"/>
      <c r="D4" s="9"/>
      <c r="E4" s="20"/>
      <c r="F4" s="20">
        <v>3230</v>
      </c>
      <c r="G4" s="7" t="s">
        <v>0</v>
      </c>
      <c r="H4" s="33">
        <v>30000</v>
      </c>
      <c r="I4" s="20">
        <v>6530</v>
      </c>
      <c r="J4" s="33">
        <v>36530</v>
      </c>
      <c r="K4" s="1"/>
      <c r="L4" s="1"/>
      <c r="M4" s="1"/>
      <c r="N4" s="1"/>
      <c r="O4" s="1"/>
      <c r="P4" s="1"/>
      <c r="Q4" s="1"/>
    </row>
    <row r="5" spans="1:17" ht="15.75" thickBot="1" x14ac:dyDescent="0.3">
      <c r="A5" s="28">
        <v>5</v>
      </c>
      <c r="B5" s="28" t="s">
        <v>36</v>
      </c>
      <c r="C5" s="29"/>
      <c r="D5" s="29"/>
      <c r="E5" s="30"/>
      <c r="F5" s="30">
        <v>3174</v>
      </c>
      <c r="G5" s="31"/>
      <c r="H5" s="30">
        <v>17474</v>
      </c>
      <c r="I5" s="30">
        <v>3680</v>
      </c>
      <c r="J5" s="30">
        <v>21154</v>
      </c>
      <c r="K5" s="1"/>
      <c r="L5" s="1"/>
      <c r="M5" s="1"/>
      <c r="N5" s="1"/>
      <c r="O5" s="1"/>
      <c r="P5" s="1"/>
      <c r="Q5" s="1"/>
    </row>
    <row r="6" spans="1:17" ht="15.75" thickBot="1" x14ac:dyDescent="0.3">
      <c r="A6" s="8">
        <v>14</v>
      </c>
      <c r="B6" s="8" t="s">
        <v>96</v>
      </c>
      <c r="C6" s="9"/>
      <c r="D6" s="9"/>
      <c r="E6" s="20"/>
      <c r="F6" s="20">
        <v>3331</v>
      </c>
      <c r="G6" s="7"/>
      <c r="H6" s="20">
        <v>17474</v>
      </c>
      <c r="I6" s="20">
        <v>7570</v>
      </c>
      <c r="J6" s="20">
        <v>25044</v>
      </c>
      <c r="K6" s="1"/>
      <c r="L6" s="1"/>
      <c r="M6" s="1"/>
      <c r="N6" s="1"/>
      <c r="O6" s="1"/>
      <c r="P6" s="1"/>
      <c r="Q6" s="1"/>
    </row>
    <row r="7" spans="1:17" ht="15.75" thickBot="1" x14ac:dyDescent="0.3">
      <c r="A7" s="28">
        <v>15</v>
      </c>
      <c r="B7" s="28" t="s">
        <v>45</v>
      </c>
      <c r="C7" s="29"/>
      <c r="D7" s="29"/>
      <c r="E7" s="30"/>
      <c r="F7" s="30">
        <v>3358</v>
      </c>
      <c r="G7" s="31"/>
      <c r="H7" s="30">
        <v>17474</v>
      </c>
      <c r="I7" s="30">
        <v>6990</v>
      </c>
      <c r="J7" s="30">
        <v>24464</v>
      </c>
      <c r="K7" s="1"/>
      <c r="L7" s="1"/>
      <c r="M7" s="1"/>
      <c r="N7" s="1"/>
      <c r="O7" s="1"/>
      <c r="P7" s="1"/>
      <c r="Q7" s="1"/>
    </row>
    <row r="8" spans="1:17" x14ac:dyDescent="0.25">
      <c r="A8" s="23">
        <v>1</v>
      </c>
      <c r="B8" s="23" t="s">
        <v>98</v>
      </c>
      <c r="C8" s="21"/>
      <c r="D8" s="21"/>
      <c r="E8" s="22"/>
      <c r="F8" s="22">
        <v>3288</v>
      </c>
      <c r="G8" s="44"/>
      <c r="H8" s="22">
        <v>22570</v>
      </c>
      <c r="I8" s="22">
        <v>0</v>
      </c>
      <c r="J8" s="22">
        <v>22570</v>
      </c>
      <c r="K8" s="1"/>
      <c r="L8" s="1"/>
      <c r="M8" s="1"/>
      <c r="N8" s="1"/>
      <c r="O8" s="1"/>
      <c r="P8" s="1"/>
      <c r="Q8" s="1"/>
    </row>
    <row r="9" spans="1:17" x14ac:dyDescent="0.25">
      <c r="A9" s="42">
        <v>13</v>
      </c>
      <c r="B9" s="42" t="s">
        <v>41</v>
      </c>
      <c r="C9" s="42"/>
      <c r="D9" s="42"/>
      <c r="E9" s="42"/>
      <c r="F9" s="42">
        <v>3270</v>
      </c>
      <c r="G9" s="42" t="s">
        <v>0</v>
      </c>
      <c r="H9" s="43">
        <v>18500</v>
      </c>
      <c r="I9" s="42">
        <v>0</v>
      </c>
      <c r="J9" s="43">
        <v>18500</v>
      </c>
      <c r="K9" s="1"/>
      <c r="L9" s="1"/>
      <c r="M9" s="1"/>
      <c r="N9" s="1"/>
      <c r="O9" s="1"/>
      <c r="P9" s="1"/>
      <c r="Q9" s="1"/>
    </row>
    <row r="10" spans="1:17" x14ac:dyDescent="0.25">
      <c r="A10" s="42">
        <v>37</v>
      </c>
      <c r="B10" s="42" t="s">
        <v>133</v>
      </c>
      <c r="C10" s="42"/>
      <c r="D10" s="42"/>
      <c r="E10" s="42"/>
      <c r="F10" s="42"/>
      <c r="G10" s="42"/>
      <c r="H10" s="43">
        <v>15166</v>
      </c>
      <c r="I10" s="42"/>
      <c r="J10" s="43">
        <v>15166</v>
      </c>
      <c r="K10" s="1"/>
      <c r="L10" s="1"/>
      <c r="M10" s="1"/>
      <c r="N10" s="1"/>
      <c r="O10" s="1"/>
      <c r="P10" s="1"/>
      <c r="Q10" s="1"/>
    </row>
    <row r="11" spans="1:17" ht="15.75" thickBot="1" x14ac:dyDescent="0.3">
      <c r="A11" s="45">
        <v>31</v>
      </c>
      <c r="B11" s="45" t="s">
        <v>39</v>
      </c>
      <c r="C11" s="46"/>
      <c r="D11" s="46"/>
      <c r="E11" s="47"/>
      <c r="F11" s="47">
        <v>3234</v>
      </c>
      <c r="G11" s="48" t="s">
        <v>0</v>
      </c>
      <c r="H11" s="49">
        <v>11500</v>
      </c>
      <c r="I11" s="47">
        <v>0</v>
      </c>
      <c r="J11" s="49">
        <v>11500</v>
      </c>
      <c r="K11" s="1"/>
      <c r="L11" s="1"/>
      <c r="M11" s="1"/>
      <c r="N11" s="1"/>
      <c r="O11" s="1"/>
      <c r="P11" s="1"/>
      <c r="Q11" s="1"/>
    </row>
    <row r="12" spans="1:17" ht="15.75" thickBot="1" x14ac:dyDescent="0.3">
      <c r="A12" s="8">
        <v>33</v>
      </c>
      <c r="B12" s="8" t="s">
        <v>119</v>
      </c>
      <c r="C12" s="9"/>
      <c r="D12" s="9"/>
      <c r="E12" s="20"/>
      <c r="F12" s="20"/>
      <c r="G12" s="7" t="s">
        <v>0</v>
      </c>
      <c r="H12" s="20">
        <v>7880</v>
      </c>
      <c r="I12" s="20"/>
      <c r="J12" s="33">
        <v>7880</v>
      </c>
      <c r="K12" s="1" t="s">
        <v>155</v>
      </c>
      <c r="L12" s="1"/>
      <c r="M12" s="1"/>
      <c r="N12" s="1"/>
      <c r="O12" s="1"/>
      <c r="P12" s="1"/>
      <c r="Q12" s="1"/>
    </row>
    <row r="13" spans="1:17" ht="15.75" thickBot="1" x14ac:dyDescent="0.3">
      <c r="A13" s="28">
        <v>25</v>
      </c>
      <c r="B13" s="28" t="s">
        <v>102</v>
      </c>
      <c r="C13" s="29"/>
      <c r="D13" s="29"/>
      <c r="E13" s="30"/>
      <c r="F13" s="30">
        <v>3235</v>
      </c>
      <c r="G13" s="31" t="s">
        <v>0</v>
      </c>
      <c r="H13" s="32">
        <v>6767</v>
      </c>
      <c r="I13" s="30">
        <v>0</v>
      </c>
      <c r="J13" s="32">
        <v>6767</v>
      </c>
      <c r="K13" s="1"/>
      <c r="L13" s="1"/>
      <c r="M13" s="1"/>
      <c r="N13" s="1"/>
      <c r="O13" s="1"/>
      <c r="P13" s="1"/>
      <c r="Q13" s="1"/>
    </row>
    <row r="14" spans="1:17" ht="15.75" thickBot="1" x14ac:dyDescent="0.3">
      <c r="A14" s="8">
        <v>17</v>
      </c>
      <c r="B14" s="8" t="s">
        <v>118</v>
      </c>
      <c r="C14" s="9"/>
      <c r="D14" s="9"/>
      <c r="E14" s="20"/>
      <c r="F14" s="20">
        <v>3249</v>
      </c>
      <c r="G14" s="7" t="s">
        <v>0</v>
      </c>
      <c r="H14" s="33">
        <v>6430</v>
      </c>
      <c r="I14" s="20">
        <v>0</v>
      </c>
      <c r="J14" s="20">
        <v>6430</v>
      </c>
      <c r="K14" s="1"/>
      <c r="L14" s="1"/>
      <c r="M14" s="1"/>
      <c r="N14" s="1"/>
      <c r="O14" s="1"/>
      <c r="P14" s="1"/>
      <c r="Q14" s="1"/>
    </row>
    <row r="15" spans="1:17" ht="15.75" thickBot="1" x14ac:dyDescent="0.3">
      <c r="A15" s="28">
        <v>38</v>
      </c>
      <c r="B15" s="28" t="s">
        <v>152</v>
      </c>
      <c r="C15" s="29"/>
      <c r="D15" s="29"/>
      <c r="E15" s="30"/>
      <c r="F15" s="30">
        <v>3724</v>
      </c>
      <c r="G15" s="31" t="s">
        <v>0</v>
      </c>
      <c r="H15" s="30">
        <v>6300</v>
      </c>
      <c r="I15" s="30"/>
      <c r="J15" s="30">
        <v>6300</v>
      </c>
      <c r="K15" s="1"/>
      <c r="L15" s="1"/>
      <c r="M15" s="1"/>
      <c r="N15" s="1"/>
      <c r="O15" s="1"/>
      <c r="P15" s="1"/>
      <c r="Q15" s="1"/>
    </row>
    <row r="16" spans="1:17" ht="15.75" thickBot="1" x14ac:dyDescent="0.3">
      <c r="A16" s="8">
        <v>4</v>
      </c>
      <c r="B16" s="8" t="s">
        <v>46</v>
      </c>
      <c r="C16" s="9"/>
      <c r="D16" s="9"/>
      <c r="E16" s="20"/>
      <c r="F16" s="20">
        <v>3278</v>
      </c>
      <c r="G16" s="7" t="s">
        <v>0</v>
      </c>
      <c r="H16" s="33">
        <v>4218</v>
      </c>
      <c r="I16" s="20">
        <v>0</v>
      </c>
      <c r="J16" s="20">
        <v>4218</v>
      </c>
      <c r="K16" s="1"/>
      <c r="L16" s="1"/>
      <c r="M16" s="1"/>
      <c r="N16" s="1"/>
      <c r="O16" s="1"/>
      <c r="P16" s="1"/>
      <c r="Q16" s="1"/>
    </row>
    <row r="17" spans="1:17" ht="15.75" thickBot="1" x14ac:dyDescent="0.3">
      <c r="A17" s="28">
        <v>20</v>
      </c>
      <c r="B17" s="28" t="s">
        <v>109</v>
      </c>
      <c r="C17" s="29"/>
      <c r="D17" s="29"/>
      <c r="E17" s="30"/>
      <c r="F17" s="30"/>
      <c r="G17" s="31" t="s">
        <v>0</v>
      </c>
      <c r="H17" s="32">
        <v>4000</v>
      </c>
      <c r="I17" s="30">
        <v>0</v>
      </c>
      <c r="J17" s="32">
        <v>4000</v>
      </c>
      <c r="K17" s="1"/>
      <c r="L17" s="1"/>
      <c r="M17" s="1"/>
      <c r="N17" s="1"/>
      <c r="O17" s="1"/>
      <c r="P17" s="1"/>
      <c r="Q17" s="1"/>
    </row>
    <row r="18" spans="1:17" ht="15.75" thickBot="1" x14ac:dyDescent="0.3">
      <c r="A18" s="8">
        <v>28</v>
      </c>
      <c r="B18" s="8" t="s">
        <v>43</v>
      </c>
      <c r="C18" s="9"/>
      <c r="D18" s="9"/>
      <c r="E18" s="20"/>
      <c r="F18" s="20">
        <v>3041</v>
      </c>
      <c r="G18" s="7" t="s">
        <v>0</v>
      </c>
      <c r="H18" s="33">
        <v>2399</v>
      </c>
      <c r="I18" s="20">
        <v>0</v>
      </c>
      <c r="J18" s="33">
        <v>2399</v>
      </c>
      <c r="K18" s="1"/>
      <c r="L18" s="1"/>
      <c r="M18" s="1"/>
      <c r="N18" s="1"/>
      <c r="O18" s="1"/>
      <c r="P18" s="1"/>
      <c r="Q18" s="1"/>
    </row>
    <row r="19" spans="1:17" ht="15.75" thickBot="1" x14ac:dyDescent="0.3">
      <c r="A19" s="28">
        <v>12</v>
      </c>
      <c r="B19" s="28" t="s">
        <v>37</v>
      </c>
      <c r="C19" s="29"/>
      <c r="D19" s="29"/>
      <c r="E19" s="30"/>
      <c r="F19" s="30">
        <v>3268</v>
      </c>
      <c r="G19" s="31" t="s">
        <v>0</v>
      </c>
      <c r="H19" s="32">
        <v>2100</v>
      </c>
      <c r="I19" s="30">
        <v>0</v>
      </c>
      <c r="J19" s="32">
        <v>2100</v>
      </c>
      <c r="K19" s="1"/>
      <c r="L19" s="1"/>
      <c r="M19" s="1"/>
      <c r="N19" s="1"/>
      <c r="O19" s="1"/>
      <c r="P19" s="1"/>
      <c r="Q19" s="1"/>
    </row>
    <row r="20" spans="1:17" ht="15.75" thickBot="1" x14ac:dyDescent="0.3">
      <c r="A20" s="8">
        <v>27</v>
      </c>
      <c r="B20" s="8" t="s">
        <v>44</v>
      </c>
      <c r="C20" s="9"/>
      <c r="D20" s="9"/>
      <c r="E20" s="20"/>
      <c r="F20" s="20"/>
      <c r="G20" s="7" t="s">
        <v>0</v>
      </c>
      <c r="H20" s="33">
        <v>0</v>
      </c>
      <c r="I20" s="20"/>
      <c r="J20" s="33">
        <v>0</v>
      </c>
      <c r="K20" s="1"/>
      <c r="L20" s="1"/>
      <c r="M20" s="1"/>
      <c r="N20" s="1"/>
      <c r="O20" s="1"/>
      <c r="P20" s="1"/>
      <c r="Q20" s="1"/>
    </row>
    <row r="21" spans="1:17" ht="15.75" thickBot="1" x14ac:dyDescent="0.3">
      <c r="A21" s="28">
        <v>24</v>
      </c>
      <c r="B21" s="28" t="s">
        <v>97</v>
      </c>
      <c r="C21" s="29"/>
      <c r="D21" s="29"/>
      <c r="E21" s="30"/>
      <c r="F21" s="30">
        <v>3255</v>
      </c>
      <c r="G21" s="31" t="s">
        <v>0</v>
      </c>
      <c r="H21" s="32">
        <v>1420</v>
      </c>
      <c r="I21" s="30">
        <v>0</v>
      </c>
      <c r="J21" s="30">
        <v>1420</v>
      </c>
      <c r="K21" s="1"/>
      <c r="L21" s="1"/>
      <c r="M21" s="1"/>
      <c r="N21" s="1"/>
      <c r="O21" s="1"/>
      <c r="P21" s="1"/>
      <c r="Q21" s="1"/>
    </row>
    <row r="22" spans="1:17" ht="15.75" thickBot="1" x14ac:dyDescent="0.3">
      <c r="A22" s="8">
        <v>21</v>
      </c>
      <c r="B22" s="8" t="s">
        <v>105</v>
      </c>
      <c r="C22" s="9"/>
      <c r="D22" s="9"/>
      <c r="E22" s="20"/>
      <c r="F22" s="20">
        <v>3290</v>
      </c>
      <c r="G22" s="7" t="s">
        <v>0</v>
      </c>
      <c r="H22" s="33">
        <v>680</v>
      </c>
      <c r="I22" s="20">
        <v>0</v>
      </c>
      <c r="J22" s="33">
        <v>680</v>
      </c>
      <c r="K22" s="1"/>
      <c r="L22" s="1"/>
      <c r="M22" s="1"/>
      <c r="N22" s="1"/>
      <c r="O22" s="1"/>
      <c r="P22" s="1"/>
      <c r="Q22" s="1"/>
    </row>
    <row r="23" spans="1:17" ht="15.75" thickBot="1" x14ac:dyDescent="0.3">
      <c r="A23" s="8">
        <v>32</v>
      </c>
      <c r="B23" s="8" t="s">
        <v>101</v>
      </c>
      <c r="C23" s="9"/>
      <c r="D23" s="9"/>
      <c r="E23" s="20"/>
      <c r="F23" s="20">
        <v>3291</v>
      </c>
      <c r="G23" s="7" t="s">
        <v>0</v>
      </c>
      <c r="H23" s="33">
        <v>520</v>
      </c>
      <c r="I23" s="20">
        <v>0</v>
      </c>
      <c r="J23" s="20">
        <v>520</v>
      </c>
      <c r="K23" s="1"/>
      <c r="L23" s="1"/>
      <c r="M23" s="1"/>
      <c r="N23" s="1"/>
      <c r="O23" s="1"/>
      <c r="P23" s="1"/>
      <c r="Q23" s="1"/>
    </row>
    <row r="24" spans="1:17" ht="15.75" thickBot="1" x14ac:dyDescent="0.3">
      <c r="A24" s="8">
        <v>37</v>
      </c>
      <c r="B24" s="8" t="s">
        <v>151</v>
      </c>
      <c r="C24" s="9"/>
      <c r="D24" s="9"/>
      <c r="E24" s="20"/>
      <c r="F24" s="20">
        <v>3723</v>
      </c>
      <c r="G24" s="7" t="s">
        <v>0</v>
      </c>
      <c r="H24" s="20">
        <v>500</v>
      </c>
      <c r="I24" s="20"/>
      <c r="J24" s="20">
        <v>500</v>
      </c>
      <c r="K24" s="1"/>
      <c r="L24" s="1"/>
      <c r="M24" s="1"/>
      <c r="N24" s="1"/>
      <c r="O24" s="1"/>
      <c r="P24" s="1"/>
      <c r="Q24" s="1"/>
    </row>
    <row r="25" spans="1:17" ht="15.75" thickBot="1" x14ac:dyDescent="0.3">
      <c r="A25" s="28">
        <v>22</v>
      </c>
      <c r="B25" s="28" t="s">
        <v>103</v>
      </c>
      <c r="C25" s="29"/>
      <c r="D25" s="29"/>
      <c r="E25" s="30"/>
      <c r="F25" s="30">
        <v>3071</v>
      </c>
      <c r="G25" s="31" t="s">
        <v>0</v>
      </c>
      <c r="H25" s="30">
        <v>264</v>
      </c>
      <c r="I25" s="30">
        <v>0</v>
      </c>
      <c r="J25" s="30">
        <v>264</v>
      </c>
      <c r="K25" s="1"/>
      <c r="L25" s="1"/>
      <c r="M25" s="1"/>
      <c r="N25" s="1"/>
      <c r="O25" s="1"/>
      <c r="P25" s="1"/>
      <c r="Q25" s="1"/>
    </row>
    <row r="26" spans="1:17" ht="15.75" thickBot="1" x14ac:dyDescent="0.3">
      <c r="A26" s="8">
        <v>18</v>
      </c>
      <c r="B26" s="8" t="s">
        <v>106</v>
      </c>
      <c r="C26" s="9"/>
      <c r="D26" s="9"/>
      <c r="E26" s="9"/>
      <c r="F26" s="7">
        <v>3266</v>
      </c>
      <c r="G26" s="7" t="s">
        <v>0</v>
      </c>
      <c r="H26" s="33">
        <v>200</v>
      </c>
      <c r="I26" s="20">
        <v>0</v>
      </c>
      <c r="J26" s="20">
        <v>200</v>
      </c>
      <c r="K26" s="1"/>
      <c r="L26" s="1"/>
      <c r="M26" s="1"/>
      <c r="N26" s="1"/>
      <c r="O26" s="1"/>
      <c r="P26" s="1"/>
      <c r="Q26" s="1"/>
    </row>
    <row r="27" spans="1:17" ht="15.75" thickBot="1" x14ac:dyDescent="0.3">
      <c r="A27" s="8">
        <v>30</v>
      </c>
      <c r="B27" s="9" t="s">
        <v>108</v>
      </c>
      <c r="C27" s="9"/>
      <c r="D27" s="9"/>
      <c r="E27" s="9"/>
      <c r="F27" s="7"/>
      <c r="G27" s="7" t="s">
        <v>0</v>
      </c>
      <c r="H27" s="33">
        <v>200</v>
      </c>
      <c r="I27" s="20">
        <v>0</v>
      </c>
      <c r="J27" s="33">
        <v>200</v>
      </c>
      <c r="K27" s="1"/>
      <c r="L27" s="1"/>
      <c r="M27" s="1"/>
      <c r="N27" s="1"/>
      <c r="O27" s="1"/>
      <c r="P27" s="1"/>
      <c r="Q27" s="1"/>
    </row>
    <row r="28" spans="1:17" ht="15.75" thickBot="1" x14ac:dyDescent="0.3">
      <c r="A28" s="7">
        <v>36</v>
      </c>
      <c r="B28" s="9" t="s">
        <v>131</v>
      </c>
      <c r="C28" s="9"/>
      <c r="D28" s="9"/>
      <c r="E28" s="9"/>
      <c r="F28" s="7">
        <v>3677</v>
      </c>
      <c r="G28" s="7"/>
      <c r="H28" s="33">
        <v>94</v>
      </c>
      <c r="I28" s="20" t="s">
        <v>164</v>
      </c>
      <c r="J28" s="33">
        <v>94</v>
      </c>
      <c r="K28" s="1"/>
      <c r="L28" s="1"/>
      <c r="M28" s="1"/>
      <c r="N28" s="1"/>
      <c r="O28" s="1"/>
      <c r="P28" s="1"/>
      <c r="Q28" s="1"/>
    </row>
    <row r="29" spans="1:17" ht="15.75" thickBot="1" x14ac:dyDescent="0.3">
      <c r="A29" s="7">
        <v>3</v>
      </c>
      <c r="B29" s="9" t="s">
        <v>107</v>
      </c>
      <c r="C29" s="9"/>
      <c r="D29" s="9"/>
      <c r="E29" s="9"/>
      <c r="F29" s="7">
        <v>3214</v>
      </c>
      <c r="G29" s="7" t="s">
        <v>0</v>
      </c>
      <c r="H29" s="33">
        <v>0</v>
      </c>
      <c r="I29" s="20">
        <v>0</v>
      </c>
      <c r="J29" s="33">
        <v>0</v>
      </c>
      <c r="K29" s="1"/>
      <c r="L29" s="1"/>
      <c r="M29" s="1"/>
      <c r="N29" s="1"/>
      <c r="O29" s="1"/>
      <c r="P29" s="1"/>
      <c r="Q29" s="1"/>
    </row>
    <row r="30" spans="1:17" ht="15.75" thickBot="1" x14ac:dyDescent="0.3">
      <c r="A30" s="7">
        <v>26</v>
      </c>
      <c r="B30" s="9" t="s">
        <v>94</v>
      </c>
      <c r="C30" s="9"/>
      <c r="D30" s="9"/>
      <c r="E30" s="9"/>
      <c r="F30" s="7">
        <v>3305</v>
      </c>
      <c r="G30" s="7" t="s">
        <v>0</v>
      </c>
      <c r="H30" s="33">
        <v>0</v>
      </c>
      <c r="I30" s="20">
        <v>0</v>
      </c>
      <c r="J30" s="33">
        <v>0</v>
      </c>
      <c r="K30" s="1"/>
      <c r="L30" s="1"/>
      <c r="M30" s="1"/>
      <c r="N30" s="1"/>
      <c r="O30" s="1"/>
      <c r="P30" s="1"/>
      <c r="Q30" s="1"/>
    </row>
    <row r="31" spans="1:17" ht="15.75" thickBot="1" x14ac:dyDescent="0.3">
      <c r="A31" s="7">
        <v>23</v>
      </c>
      <c r="B31" s="9" t="s">
        <v>100</v>
      </c>
      <c r="C31" s="9"/>
      <c r="D31" s="9"/>
      <c r="E31" s="9"/>
      <c r="F31" s="7">
        <v>3224</v>
      </c>
      <c r="G31" s="7"/>
      <c r="H31" s="20">
        <v>0</v>
      </c>
      <c r="I31" s="20">
        <v>0</v>
      </c>
      <c r="J31" s="20">
        <v>0</v>
      </c>
      <c r="K31" s="1"/>
      <c r="L31" s="1"/>
      <c r="M31" s="1"/>
      <c r="N31" s="1"/>
      <c r="O31" s="1"/>
      <c r="P31" s="1"/>
      <c r="Q31" s="1"/>
    </row>
    <row r="32" spans="1:17" ht="15.75" thickBot="1" x14ac:dyDescent="0.3">
      <c r="A32" s="7">
        <v>39</v>
      </c>
      <c r="B32" s="9" t="s">
        <v>153</v>
      </c>
      <c r="C32" s="9"/>
      <c r="D32" s="9"/>
      <c r="E32" s="9"/>
      <c r="F32" s="7"/>
      <c r="G32" s="7" t="s">
        <v>0</v>
      </c>
      <c r="H32" s="33">
        <v>0</v>
      </c>
      <c r="I32" s="20">
        <v>0</v>
      </c>
      <c r="J32" s="33">
        <v>0</v>
      </c>
      <c r="K32" s="1"/>
      <c r="L32" s="1"/>
      <c r="M32" s="1"/>
      <c r="N32" s="1"/>
      <c r="O32" s="1"/>
      <c r="P32" s="1"/>
      <c r="Q32" s="1"/>
    </row>
    <row r="33" spans="1:17" ht="15.75" thickBot="1" x14ac:dyDescent="0.3">
      <c r="A33" s="7">
        <v>10</v>
      </c>
      <c r="B33" s="9" t="s">
        <v>42</v>
      </c>
      <c r="C33" s="9"/>
      <c r="D33" s="9"/>
      <c r="E33" s="9"/>
      <c r="F33" s="7">
        <v>3239</v>
      </c>
      <c r="G33" s="7" t="s">
        <v>0</v>
      </c>
      <c r="H33" s="33">
        <v>0</v>
      </c>
      <c r="I33" s="20">
        <v>0</v>
      </c>
      <c r="J33" s="33">
        <v>0</v>
      </c>
      <c r="K33" s="1"/>
      <c r="L33" s="1"/>
      <c r="M33" s="1"/>
      <c r="N33" s="1"/>
      <c r="O33" s="1"/>
      <c r="P33" s="1"/>
      <c r="Q33" s="1"/>
    </row>
    <row r="34" spans="1:17" ht="15.75" thickBot="1" x14ac:dyDescent="0.3">
      <c r="A34" s="7">
        <v>19</v>
      </c>
      <c r="B34" s="9" t="s">
        <v>40</v>
      </c>
      <c r="C34" s="9"/>
      <c r="D34" s="9"/>
      <c r="E34" s="9"/>
      <c r="F34" s="7">
        <v>3048</v>
      </c>
      <c r="G34" s="7" t="s">
        <v>0</v>
      </c>
      <c r="H34" s="33">
        <v>0</v>
      </c>
      <c r="I34" s="20"/>
      <c r="J34" s="33">
        <v>0</v>
      </c>
      <c r="K34" s="1"/>
      <c r="L34" s="1"/>
      <c r="M34" s="1"/>
      <c r="N34" s="1"/>
      <c r="O34" s="1"/>
      <c r="P34" s="1"/>
      <c r="Q34" s="1"/>
    </row>
    <row r="35" spans="1:17" ht="15.75" thickBot="1" x14ac:dyDescent="0.3">
      <c r="A35" s="7">
        <v>34</v>
      </c>
      <c r="B35" s="9" t="s">
        <v>122</v>
      </c>
      <c r="C35" s="9"/>
      <c r="D35" s="9"/>
      <c r="E35" s="9"/>
      <c r="F35" s="7"/>
      <c r="G35" s="7" t="s">
        <v>0</v>
      </c>
      <c r="H35" s="33">
        <v>0</v>
      </c>
      <c r="I35" s="20"/>
      <c r="J35" s="33">
        <v>0</v>
      </c>
      <c r="K35" s="1"/>
      <c r="L35" s="1"/>
      <c r="M35" s="1"/>
      <c r="N35" s="1"/>
      <c r="O35" s="1"/>
      <c r="P35" s="1"/>
      <c r="Q35" s="1"/>
    </row>
    <row r="36" spans="1:17" ht="15.75" thickBot="1" x14ac:dyDescent="0.3">
      <c r="A36" s="7">
        <v>11</v>
      </c>
      <c r="B36" s="9" t="s">
        <v>95</v>
      </c>
      <c r="C36" s="9"/>
      <c r="D36" s="9"/>
      <c r="E36" s="9"/>
      <c r="F36" s="7">
        <v>3308</v>
      </c>
      <c r="G36" s="7" t="s">
        <v>0</v>
      </c>
      <c r="H36" s="20">
        <v>0</v>
      </c>
      <c r="I36" s="20">
        <v>0</v>
      </c>
      <c r="J36" s="20">
        <v>0</v>
      </c>
      <c r="K36" s="1"/>
      <c r="L36" s="1"/>
      <c r="M36" s="1"/>
      <c r="N36" s="1"/>
      <c r="O36" s="1"/>
      <c r="P36" s="1"/>
      <c r="Q36" s="1"/>
    </row>
    <row r="37" spans="1:17" ht="15.75" thickBot="1" x14ac:dyDescent="0.3">
      <c r="A37" s="7">
        <v>29</v>
      </c>
      <c r="B37" s="9" t="s">
        <v>110</v>
      </c>
      <c r="C37" s="9"/>
      <c r="D37" s="9"/>
      <c r="E37" s="9"/>
      <c r="F37" s="7"/>
      <c r="G37" s="7" t="s">
        <v>0</v>
      </c>
      <c r="H37" s="20">
        <v>0</v>
      </c>
      <c r="I37" s="20">
        <v>0</v>
      </c>
      <c r="J37" s="33">
        <v>0</v>
      </c>
      <c r="K37" s="1"/>
      <c r="L37" s="1"/>
      <c r="M37" s="1"/>
      <c r="N37" s="1"/>
      <c r="O37" s="1"/>
      <c r="P37" s="1"/>
      <c r="Q37" s="1"/>
    </row>
    <row r="38" spans="1:17" ht="15.75" thickBot="1" x14ac:dyDescent="0.3">
      <c r="A38" s="7">
        <v>38</v>
      </c>
      <c r="B38" s="9" t="s">
        <v>129</v>
      </c>
      <c r="C38" s="9"/>
      <c r="D38" s="9"/>
      <c r="E38" s="9"/>
      <c r="F38" s="7"/>
      <c r="G38" s="7"/>
      <c r="H38" s="20">
        <v>0</v>
      </c>
      <c r="I38" s="20">
        <v>0</v>
      </c>
      <c r="J38" s="20">
        <v>0</v>
      </c>
      <c r="K38" s="1"/>
      <c r="L38" s="1"/>
      <c r="M38" s="1"/>
      <c r="N38" s="1"/>
      <c r="O38" s="1"/>
      <c r="P38" s="1"/>
      <c r="Q38" s="1"/>
    </row>
    <row r="39" spans="1:17" ht="15.75" thickBot="1" x14ac:dyDescent="0.3">
      <c r="A39" s="7">
        <v>16</v>
      </c>
      <c r="B39" s="9" t="s">
        <v>99</v>
      </c>
      <c r="C39" s="9"/>
      <c r="D39" s="9"/>
      <c r="E39" s="9"/>
      <c r="F39" s="7">
        <v>3309</v>
      </c>
      <c r="G39" s="7" t="s">
        <v>0</v>
      </c>
      <c r="H39" s="20">
        <v>0</v>
      </c>
      <c r="I39" s="20">
        <v>0</v>
      </c>
      <c r="J39" s="20">
        <v>0</v>
      </c>
      <c r="K39" s="1"/>
      <c r="L39" s="1"/>
      <c r="M39" s="1"/>
      <c r="N39" s="1"/>
      <c r="O39" s="1"/>
      <c r="P39" s="1"/>
      <c r="Q39" s="1"/>
    </row>
    <row r="40" spans="1:17" ht="15.75" thickBot="1" x14ac:dyDescent="0.3">
      <c r="A40" s="7">
        <v>35</v>
      </c>
      <c r="B40" s="9" t="s">
        <v>104</v>
      </c>
      <c r="C40" s="9"/>
      <c r="D40" s="9"/>
      <c r="E40" s="9"/>
      <c r="F40" s="7">
        <v>3293</v>
      </c>
      <c r="G40" s="7"/>
      <c r="H40" s="20">
        <v>0</v>
      </c>
      <c r="I40" s="20">
        <v>0</v>
      </c>
      <c r="J40" s="20">
        <v>0</v>
      </c>
      <c r="K40" s="1"/>
      <c r="L40" s="1"/>
      <c r="M40" s="1"/>
      <c r="N40" s="1"/>
      <c r="O40" s="1"/>
      <c r="P40" s="1"/>
      <c r="Q40" s="1"/>
    </row>
    <row r="41" spans="1:17" ht="15.75" thickBot="1" x14ac:dyDescent="0.3">
      <c r="A41" s="7"/>
      <c r="B41" s="9" t="s">
        <v>57</v>
      </c>
      <c r="C41" s="9"/>
      <c r="D41" s="9"/>
      <c r="E41" s="9"/>
      <c r="F41" s="7"/>
      <c r="G41" s="7"/>
      <c r="H41" s="7">
        <f>SUM(H3:H40)</f>
        <v>224130</v>
      </c>
      <c r="I41" s="34">
        <v>414444</v>
      </c>
      <c r="J41" s="20">
        <f>SUM(J3:J40)</f>
        <v>262410</v>
      </c>
      <c r="K41" s="35"/>
      <c r="L41" s="1"/>
      <c r="M41" s="1"/>
      <c r="N41" s="1"/>
      <c r="O41" s="1"/>
      <c r="P41" s="1"/>
      <c r="Q41" s="1"/>
    </row>
    <row r="42" spans="1:1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</sheetData>
  <sortState ref="A3:J40">
    <sortCondition descending="1" ref="J3:J40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G37"/>
  <sheetViews>
    <sheetView topLeftCell="A3" workbookViewId="0">
      <selection activeCell="M30" sqref="M30"/>
    </sheetView>
  </sheetViews>
  <sheetFormatPr defaultRowHeight="15" x14ac:dyDescent="0.25"/>
  <cols>
    <col min="4" max="4" width="1.42578125" customWidth="1"/>
  </cols>
  <sheetData>
    <row r="1" spans="1:7" x14ac:dyDescent="0.25">
      <c r="A1" s="55" t="s">
        <v>391</v>
      </c>
      <c r="B1" s="55" t="s">
        <v>545</v>
      </c>
      <c r="C1" s="55"/>
      <c r="D1" s="55"/>
      <c r="E1" s="55"/>
      <c r="F1" s="55"/>
      <c r="G1" s="55"/>
    </row>
    <row r="2" spans="1:7" x14ac:dyDescent="0.25">
      <c r="C2" t="s">
        <v>116</v>
      </c>
      <c r="E2" t="s">
        <v>234</v>
      </c>
      <c r="G2" t="s">
        <v>113</v>
      </c>
    </row>
    <row r="3" spans="1:7" x14ac:dyDescent="0.25">
      <c r="A3" s="40">
        <v>1</v>
      </c>
      <c r="B3" s="40" t="s">
        <v>239</v>
      </c>
      <c r="C3" s="40" t="s">
        <v>6</v>
      </c>
      <c r="D3" s="40"/>
      <c r="E3" s="40">
        <v>3553</v>
      </c>
      <c r="F3" s="40" t="s">
        <v>0</v>
      </c>
      <c r="G3" s="54">
        <v>43110</v>
      </c>
    </row>
    <row r="4" spans="1:7" x14ac:dyDescent="0.25">
      <c r="A4" s="40">
        <v>2</v>
      </c>
      <c r="B4" s="40" t="s">
        <v>258</v>
      </c>
      <c r="C4" s="40" t="s">
        <v>243</v>
      </c>
      <c r="D4" s="40"/>
      <c r="E4" s="40">
        <v>3573</v>
      </c>
      <c r="F4" s="40" t="s">
        <v>0</v>
      </c>
      <c r="G4" s="54">
        <v>29760</v>
      </c>
    </row>
    <row r="5" spans="1:7" x14ac:dyDescent="0.25">
      <c r="A5" s="40">
        <v>3</v>
      </c>
      <c r="B5" s="40" t="s">
        <v>242</v>
      </c>
      <c r="C5" s="40" t="s">
        <v>204</v>
      </c>
      <c r="D5" s="40"/>
      <c r="E5" s="40">
        <v>3624</v>
      </c>
      <c r="F5" s="40"/>
      <c r="G5" s="54">
        <v>19844</v>
      </c>
    </row>
    <row r="6" spans="1:7" x14ac:dyDescent="0.25">
      <c r="A6" s="40">
        <v>4</v>
      </c>
      <c r="B6" s="40" t="s">
        <v>328</v>
      </c>
      <c r="C6" s="40"/>
      <c r="D6" s="40"/>
      <c r="E6" s="40">
        <v>3983</v>
      </c>
      <c r="F6" s="40" t="s">
        <v>0</v>
      </c>
      <c r="G6" s="54">
        <v>19500</v>
      </c>
    </row>
    <row r="7" spans="1:7" x14ac:dyDescent="0.25">
      <c r="A7" s="40">
        <v>5</v>
      </c>
      <c r="B7" s="40" t="s">
        <v>262</v>
      </c>
      <c r="C7" s="40" t="s">
        <v>183</v>
      </c>
      <c r="D7" s="40"/>
      <c r="E7" s="40">
        <v>3602</v>
      </c>
      <c r="F7" s="40"/>
      <c r="G7" s="54">
        <v>15764</v>
      </c>
    </row>
    <row r="8" spans="1:7" x14ac:dyDescent="0.25">
      <c r="A8" s="40">
        <v>6</v>
      </c>
      <c r="B8" s="40" t="s">
        <v>318</v>
      </c>
      <c r="C8" s="40"/>
      <c r="D8" s="40"/>
      <c r="E8" s="40">
        <v>3872</v>
      </c>
      <c r="F8" s="40" t="s">
        <v>0</v>
      </c>
      <c r="G8" s="54">
        <v>13860</v>
      </c>
    </row>
    <row r="9" spans="1:7" x14ac:dyDescent="0.25">
      <c r="A9" s="40">
        <v>7</v>
      </c>
      <c r="B9" s="40" t="s">
        <v>264</v>
      </c>
      <c r="C9" s="40" t="s">
        <v>265</v>
      </c>
      <c r="D9" s="40"/>
      <c r="E9" s="40">
        <v>3612</v>
      </c>
      <c r="F9" s="40"/>
      <c r="G9" s="54">
        <v>12014</v>
      </c>
    </row>
    <row r="10" spans="1:7" x14ac:dyDescent="0.25">
      <c r="A10" s="40">
        <v>8</v>
      </c>
      <c r="B10" s="40" t="s">
        <v>315</v>
      </c>
      <c r="C10" s="40" t="s">
        <v>199</v>
      </c>
      <c r="D10" s="40"/>
      <c r="E10" s="40">
        <v>3870</v>
      </c>
      <c r="F10" s="40"/>
      <c r="G10" s="54">
        <v>12000</v>
      </c>
    </row>
    <row r="11" spans="1:7" x14ac:dyDescent="0.25">
      <c r="A11" s="40">
        <v>9</v>
      </c>
      <c r="B11" s="40" t="s">
        <v>248</v>
      </c>
      <c r="C11" s="40" t="s">
        <v>254</v>
      </c>
      <c r="D11" s="40"/>
      <c r="E11" s="40">
        <v>3561</v>
      </c>
      <c r="F11" s="40" t="s">
        <v>0</v>
      </c>
      <c r="G11" s="54">
        <v>9020</v>
      </c>
    </row>
    <row r="12" spans="1:7" x14ac:dyDescent="0.25">
      <c r="A12" s="40">
        <v>10</v>
      </c>
      <c r="B12" s="40" t="s">
        <v>275</v>
      </c>
      <c r="C12" s="40" t="s">
        <v>276</v>
      </c>
      <c r="D12" s="40"/>
      <c r="E12" s="40">
        <v>3618</v>
      </c>
      <c r="F12" s="40"/>
      <c r="G12" s="54">
        <v>8704</v>
      </c>
    </row>
    <row r="13" spans="1:7" x14ac:dyDescent="0.25">
      <c r="A13" s="40">
        <v>11</v>
      </c>
      <c r="B13" s="40" t="s">
        <v>260</v>
      </c>
      <c r="C13" s="40" t="s">
        <v>261</v>
      </c>
      <c r="D13" s="40"/>
      <c r="E13" s="40">
        <v>3366</v>
      </c>
      <c r="F13" s="40" t="s">
        <v>0</v>
      </c>
      <c r="G13" s="54">
        <v>7654</v>
      </c>
    </row>
    <row r="14" spans="1:7" x14ac:dyDescent="0.25">
      <c r="A14" s="40">
        <v>12</v>
      </c>
      <c r="B14" s="40" t="s">
        <v>244</v>
      </c>
      <c r="C14" s="40" t="s">
        <v>245</v>
      </c>
      <c r="D14" s="40"/>
      <c r="E14" s="40">
        <v>3598</v>
      </c>
      <c r="F14" s="40" t="s">
        <v>0</v>
      </c>
      <c r="G14" s="54">
        <v>7500</v>
      </c>
    </row>
    <row r="15" spans="1:7" x14ac:dyDescent="0.25">
      <c r="A15" s="40">
        <v>13</v>
      </c>
      <c r="B15" s="40" t="s">
        <v>277</v>
      </c>
      <c r="C15" s="40" t="s">
        <v>253</v>
      </c>
      <c r="D15" s="40"/>
      <c r="E15" s="40">
        <v>3393</v>
      </c>
      <c r="F15" s="40"/>
      <c r="G15" s="54">
        <v>7054</v>
      </c>
    </row>
    <row r="16" spans="1:7" x14ac:dyDescent="0.25">
      <c r="A16" s="40">
        <v>14</v>
      </c>
      <c r="B16" s="40" t="s">
        <v>235</v>
      </c>
      <c r="C16" s="40" t="s">
        <v>6</v>
      </c>
      <c r="D16" s="40"/>
      <c r="E16" s="40">
        <v>3631</v>
      </c>
      <c r="F16" s="40" t="s">
        <v>0</v>
      </c>
      <c r="G16" s="54">
        <v>0</v>
      </c>
    </row>
    <row r="17" spans="1:7" x14ac:dyDescent="0.25">
      <c r="A17" s="40">
        <v>15</v>
      </c>
      <c r="B17" s="40" t="s">
        <v>269</v>
      </c>
      <c r="C17" s="40"/>
      <c r="D17" s="40"/>
      <c r="E17" s="40">
        <v>3641</v>
      </c>
      <c r="F17" s="40"/>
      <c r="G17" s="54">
        <v>6424</v>
      </c>
    </row>
    <row r="18" spans="1:7" x14ac:dyDescent="0.25">
      <c r="A18" s="40">
        <v>16</v>
      </c>
      <c r="B18" s="40" t="s">
        <v>240</v>
      </c>
      <c r="C18" s="40" t="s">
        <v>241</v>
      </c>
      <c r="D18" s="40"/>
      <c r="E18" s="40">
        <v>3583</v>
      </c>
      <c r="F18" s="40" t="s">
        <v>0</v>
      </c>
      <c r="G18" s="54">
        <v>5880</v>
      </c>
    </row>
    <row r="19" spans="1:7" x14ac:dyDescent="0.25">
      <c r="A19" s="40">
        <v>17</v>
      </c>
      <c r="B19" s="40" t="s">
        <v>317</v>
      </c>
      <c r="C19" s="40" t="s">
        <v>241</v>
      </c>
      <c r="D19" s="40"/>
      <c r="E19" s="40">
        <v>3387</v>
      </c>
      <c r="F19" s="40" t="s">
        <v>0</v>
      </c>
      <c r="G19" s="54">
        <v>4644</v>
      </c>
    </row>
    <row r="20" spans="1:7" x14ac:dyDescent="0.25">
      <c r="A20" s="40">
        <v>18</v>
      </c>
      <c r="B20" s="40" t="s">
        <v>319</v>
      </c>
      <c r="C20" s="40" t="s">
        <v>207</v>
      </c>
      <c r="D20" s="40"/>
      <c r="E20" s="40">
        <v>3871</v>
      </c>
      <c r="F20" s="40"/>
      <c r="G20" s="54">
        <v>4300</v>
      </c>
    </row>
    <row r="21" spans="1:7" x14ac:dyDescent="0.25">
      <c r="A21" s="40">
        <v>20</v>
      </c>
      <c r="B21" s="40" t="s">
        <v>267</v>
      </c>
      <c r="C21" s="40" t="s">
        <v>268</v>
      </c>
      <c r="D21" s="40"/>
      <c r="E21" s="40">
        <v>3569</v>
      </c>
      <c r="F21" s="40" t="s">
        <v>0</v>
      </c>
      <c r="G21" s="54">
        <v>3980</v>
      </c>
    </row>
    <row r="22" spans="1:7" x14ac:dyDescent="0.25">
      <c r="A22" s="40">
        <v>21</v>
      </c>
      <c r="B22" s="40" t="s">
        <v>256</v>
      </c>
      <c r="C22" s="40" t="s">
        <v>257</v>
      </c>
      <c r="D22" s="40"/>
      <c r="E22" s="40">
        <v>3571</v>
      </c>
      <c r="F22" s="40" t="s">
        <v>0</v>
      </c>
      <c r="G22" s="54">
        <v>2760</v>
      </c>
    </row>
    <row r="23" spans="1:7" x14ac:dyDescent="0.25">
      <c r="A23" s="40">
        <v>23</v>
      </c>
      <c r="B23" s="40" t="s">
        <v>246</v>
      </c>
      <c r="C23" s="40" t="s">
        <v>247</v>
      </c>
      <c r="D23" s="40"/>
      <c r="E23" s="40">
        <v>3627</v>
      </c>
      <c r="F23" s="40" t="s">
        <v>0</v>
      </c>
      <c r="G23" s="54">
        <v>994</v>
      </c>
    </row>
    <row r="24" spans="1:7" x14ac:dyDescent="0.25">
      <c r="A24" s="40">
        <v>24</v>
      </c>
      <c r="B24" s="40" t="s">
        <v>272</v>
      </c>
      <c r="C24" s="40" t="s">
        <v>241</v>
      </c>
      <c r="D24" s="40"/>
      <c r="E24" s="40">
        <v>3357</v>
      </c>
      <c r="F24" s="40" t="s">
        <v>0</v>
      </c>
      <c r="G24" s="54">
        <v>674</v>
      </c>
    </row>
    <row r="25" spans="1:7" x14ac:dyDescent="0.25">
      <c r="A25" s="40">
        <v>25</v>
      </c>
      <c r="B25" s="40" t="s">
        <v>267</v>
      </c>
      <c r="C25" s="40" t="s">
        <v>274</v>
      </c>
      <c r="D25" s="40"/>
      <c r="E25" s="40">
        <v>3175</v>
      </c>
      <c r="F25" s="40"/>
      <c r="G25" s="54">
        <v>600</v>
      </c>
    </row>
    <row r="26" spans="1:7" x14ac:dyDescent="0.25">
      <c r="A26" s="40">
        <v>26</v>
      </c>
      <c r="B26" s="40" t="s">
        <v>236</v>
      </c>
      <c r="C26" s="40" t="s">
        <v>237</v>
      </c>
      <c r="D26" s="40"/>
      <c r="E26" s="40">
        <v>3620</v>
      </c>
      <c r="F26" s="40" t="s">
        <v>0</v>
      </c>
      <c r="G26" s="54">
        <v>117</v>
      </c>
    </row>
    <row r="27" spans="1:7" x14ac:dyDescent="0.25">
      <c r="A27" s="40">
        <v>22</v>
      </c>
      <c r="B27" s="40" t="s">
        <v>50</v>
      </c>
      <c r="C27" s="40" t="s">
        <v>266</v>
      </c>
      <c r="D27" s="40"/>
      <c r="E27" s="40">
        <v>3579</v>
      </c>
      <c r="F27" s="40" t="s">
        <v>0</v>
      </c>
      <c r="G27" s="54">
        <v>0</v>
      </c>
    </row>
    <row r="28" spans="1:7" x14ac:dyDescent="0.25">
      <c r="A28" s="40">
        <v>19</v>
      </c>
      <c r="B28" s="40" t="s">
        <v>262</v>
      </c>
      <c r="C28" s="40" t="s">
        <v>263</v>
      </c>
      <c r="D28" s="40"/>
      <c r="E28" s="40">
        <v>3642</v>
      </c>
      <c r="F28" s="40" t="s">
        <v>0</v>
      </c>
      <c r="G28" s="54">
        <v>0</v>
      </c>
    </row>
    <row r="29" spans="1:7" x14ac:dyDescent="0.25">
      <c r="A29" s="40">
        <v>27</v>
      </c>
      <c r="B29" s="40" t="s">
        <v>249</v>
      </c>
      <c r="C29" s="40" t="s">
        <v>250</v>
      </c>
      <c r="D29" s="40"/>
      <c r="E29" s="40">
        <v>3610</v>
      </c>
      <c r="F29" s="40" t="s">
        <v>0</v>
      </c>
      <c r="G29" s="54">
        <v>0</v>
      </c>
    </row>
    <row r="30" spans="1:7" x14ac:dyDescent="0.25">
      <c r="A30" s="40">
        <v>28</v>
      </c>
      <c r="B30" s="40" t="s">
        <v>271</v>
      </c>
      <c r="C30" s="40" t="s">
        <v>253</v>
      </c>
      <c r="D30" s="40"/>
      <c r="E30" s="40">
        <v>3563</v>
      </c>
      <c r="F30" s="40" t="s">
        <v>0</v>
      </c>
      <c r="G30" s="54">
        <v>0</v>
      </c>
    </row>
    <row r="31" spans="1:7" x14ac:dyDescent="0.25">
      <c r="A31" s="40">
        <v>29</v>
      </c>
      <c r="B31" s="40" t="s">
        <v>252</v>
      </c>
      <c r="C31" s="40"/>
      <c r="D31" s="40"/>
      <c r="E31" s="40">
        <v>3575</v>
      </c>
      <c r="F31" s="40" t="s">
        <v>0</v>
      </c>
      <c r="G31" s="54">
        <v>0</v>
      </c>
    </row>
    <row r="32" spans="1:7" x14ac:dyDescent="0.25">
      <c r="A32" s="40">
        <v>30</v>
      </c>
      <c r="B32" s="40" t="s">
        <v>282</v>
      </c>
      <c r="C32" s="40" t="s">
        <v>270</v>
      </c>
      <c r="D32" s="40"/>
      <c r="E32" s="40">
        <v>3557</v>
      </c>
      <c r="F32" s="40" t="s">
        <v>0</v>
      </c>
      <c r="G32" s="54">
        <v>0</v>
      </c>
    </row>
    <row r="33" spans="1:7" x14ac:dyDescent="0.25">
      <c r="A33" s="40">
        <v>31</v>
      </c>
      <c r="B33" s="40" t="s">
        <v>205</v>
      </c>
      <c r="C33" s="40" t="s">
        <v>259</v>
      </c>
      <c r="D33" s="40"/>
      <c r="E33" s="40">
        <v>3555</v>
      </c>
      <c r="F33" s="40" t="s">
        <v>0</v>
      </c>
      <c r="G33" s="54">
        <v>0</v>
      </c>
    </row>
    <row r="34" spans="1:7" x14ac:dyDescent="0.25">
      <c r="A34" s="40">
        <v>32</v>
      </c>
      <c r="B34" s="40" t="s">
        <v>50</v>
      </c>
      <c r="C34" s="40" t="s">
        <v>255</v>
      </c>
      <c r="D34" s="40"/>
      <c r="E34" s="40">
        <v>3589</v>
      </c>
      <c r="F34" s="40"/>
      <c r="G34" s="54">
        <v>0</v>
      </c>
    </row>
    <row r="35" spans="1:7" x14ac:dyDescent="0.25">
      <c r="A35" s="40">
        <v>33</v>
      </c>
      <c r="B35" s="40" t="s">
        <v>180</v>
      </c>
      <c r="C35" s="40" t="s">
        <v>183</v>
      </c>
      <c r="D35" s="40"/>
      <c r="E35" s="40">
        <v>3577</v>
      </c>
      <c r="F35" s="40"/>
      <c r="G35" s="54">
        <v>0</v>
      </c>
    </row>
    <row r="36" spans="1:7" x14ac:dyDescent="0.25">
      <c r="A36" s="40">
        <v>34</v>
      </c>
      <c r="B36" s="40" t="s">
        <v>238</v>
      </c>
      <c r="C36" s="40" t="s">
        <v>273</v>
      </c>
      <c r="D36" s="40"/>
      <c r="E36" s="40">
        <v>3418</v>
      </c>
      <c r="F36" s="40"/>
      <c r="G36" s="54">
        <v>0</v>
      </c>
    </row>
    <row r="37" spans="1:7" x14ac:dyDescent="0.25">
      <c r="A37" s="40"/>
      <c r="B37" s="40"/>
      <c r="C37" s="40"/>
      <c r="D37" s="40"/>
      <c r="E37" s="40"/>
      <c r="F37" s="40"/>
      <c r="G37" s="54">
        <f>SUM(G3:G36)</f>
        <v>236157</v>
      </c>
    </row>
  </sheetData>
  <sortState ref="A3:I36">
    <sortCondition descending="1" ref="G3:G36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8" sqref="G8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G45"/>
  <sheetViews>
    <sheetView workbookViewId="0">
      <selection activeCell="I31" sqref="I31"/>
    </sheetView>
  </sheetViews>
  <sheetFormatPr defaultRowHeight="15" x14ac:dyDescent="0.25"/>
  <cols>
    <col min="1" max="1" width="8.85546875" customWidth="1"/>
    <col min="5" max="5" width="3.7109375" customWidth="1"/>
  </cols>
  <sheetData>
    <row r="1" spans="1:7" x14ac:dyDescent="0.25">
      <c r="A1" s="55" t="s">
        <v>390</v>
      </c>
      <c r="B1" s="55"/>
      <c r="C1" s="55"/>
      <c r="D1" s="55"/>
      <c r="E1" s="55"/>
      <c r="F1" s="55"/>
      <c r="G1" s="55"/>
    </row>
    <row r="2" spans="1:7" x14ac:dyDescent="0.25">
      <c r="A2" s="40" t="s">
        <v>65</v>
      </c>
      <c r="B2" s="40"/>
      <c r="C2" s="40"/>
      <c r="D2" s="40" t="s">
        <v>52</v>
      </c>
      <c r="E2" s="40"/>
      <c r="F2" s="40" t="s">
        <v>113</v>
      </c>
      <c r="G2" s="40"/>
    </row>
    <row r="3" spans="1:7" x14ac:dyDescent="0.25">
      <c r="A3" s="40" t="s">
        <v>283</v>
      </c>
      <c r="B3" s="40"/>
      <c r="C3" s="40"/>
      <c r="D3" s="40">
        <v>3829</v>
      </c>
      <c r="E3" s="40" t="s">
        <v>0</v>
      </c>
      <c r="F3" s="40">
        <v>51000</v>
      </c>
      <c r="G3" s="40"/>
    </row>
    <row r="4" spans="1:7" x14ac:dyDescent="0.25">
      <c r="A4" s="40" t="s">
        <v>171</v>
      </c>
      <c r="B4" s="54"/>
      <c r="C4" s="57"/>
      <c r="D4" s="40">
        <v>3800</v>
      </c>
      <c r="E4" s="40" t="s">
        <v>0</v>
      </c>
      <c r="F4" s="40">
        <v>39000</v>
      </c>
      <c r="G4" s="40"/>
    </row>
    <row r="5" spans="1:7" x14ac:dyDescent="0.25">
      <c r="A5" s="40" t="s">
        <v>59</v>
      </c>
      <c r="B5" s="54"/>
      <c r="C5" s="57"/>
      <c r="D5" s="40">
        <v>3584</v>
      </c>
      <c r="E5" s="40" t="s">
        <v>0</v>
      </c>
      <c r="F5" s="40">
        <v>34824</v>
      </c>
      <c r="G5" s="40"/>
    </row>
    <row r="6" spans="1:7" x14ac:dyDescent="0.25">
      <c r="A6" s="40" t="s">
        <v>231</v>
      </c>
      <c r="B6" s="54"/>
      <c r="C6" s="57"/>
      <c r="D6" s="40">
        <v>3523</v>
      </c>
      <c r="E6" s="40" t="s">
        <v>0</v>
      </c>
      <c r="F6" s="40">
        <v>33200</v>
      </c>
      <c r="G6" s="40"/>
    </row>
    <row r="7" spans="1:7" x14ac:dyDescent="0.25">
      <c r="A7" s="40" t="s">
        <v>221</v>
      </c>
      <c r="B7" s="40"/>
      <c r="C7" s="40"/>
      <c r="D7" s="40">
        <v>3833</v>
      </c>
      <c r="E7" s="40" t="s">
        <v>0</v>
      </c>
      <c r="F7" s="40">
        <v>25420</v>
      </c>
      <c r="G7" s="40"/>
    </row>
    <row r="8" spans="1:7" x14ac:dyDescent="0.25">
      <c r="A8" s="40" t="s">
        <v>158</v>
      </c>
      <c r="B8" s="54"/>
      <c r="C8" s="57"/>
      <c r="D8" s="40">
        <v>3750</v>
      </c>
      <c r="E8" s="40" t="s">
        <v>0</v>
      </c>
      <c r="F8" s="40">
        <v>24830</v>
      </c>
      <c r="G8" s="40"/>
    </row>
    <row r="9" spans="1:7" x14ac:dyDescent="0.25">
      <c r="A9" s="40" t="s">
        <v>322</v>
      </c>
      <c r="B9" s="54"/>
      <c r="C9" s="57"/>
      <c r="D9" s="40"/>
      <c r="E9" s="40" t="s">
        <v>0</v>
      </c>
      <c r="F9" s="40">
        <v>22580</v>
      </c>
      <c r="G9" s="40"/>
    </row>
    <row r="10" spans="1:7" x14ac:dyDescent="0.25">
      <c r="A10" s="40" t="s">
        <v>13</v>
      </c>
      <c r="B10" s="54"/>
      <c r="C10" s="57"/>
      <c r="D10" s="40">
        <v>3373</v>
      </c>
      <c r="E10" s="40"/>
      <c r="F10" s="40">
        <v>21414</v>
      </c>
      <c r="G10" s="40"/>
    </row>
    <row r="11" spans="1:7" x14ac:dyDescent="0.25">
      <c r="A11" s="40" t="s">
        <v>222</v>
      </c>
      <c r="B11" s="40"/>
      <c r="C11" s="40"/>
      <c r="D11" s="40">
        <v>3839</v>
      </c>
      <c r="E11" s="40" t="s">
        <v>0</v>
      </c>
      <c r="F11" s="40">
        <v>20100</v>
      </c>
      <c r="G11" s="40"/>
    </row>
    <row r="12" spans="1:7" x14ac:dyDescent="0.25">
      <c r="A12" s="40" t="s">
        <v>232</v>
      </c>
      <c r="B12" s="40"/>
      <c r="C12" s="40"/>
      <c r="D12" s="40">
        <v>3835</v>
      </c>
      <c r="E12" s="40" t="s">
        <v>0</v>
      </c>
      <c r="F12" s="40">
        <v>0</v>
      </c>
      <c r="G12" s="40"/>
    </row>
    <row r="13" spans="1:7" x14ac:dyDescent="0.25">
      <c r="A13" s="40" t="s">
        <v>230</v>
      </c>
      <c r="B13" s="54"/>
      <c r="C13" s="57"/>
      <c r="D13" s="40">
        <v>3832</v>
      </c>
      <c r="E13" s="40" t="s">
        <v>0</v>
      </c>
      <c r="F13" s="40">
        <v>18000</v>
      </c>
      <c r="G13" s="40"/>
    </row>
    <row r="14" spans="1:7" x14ac:dyDescent="0.25">
      <c r="A14" s="40" t="s">
        <v>137</v>
      </c>
      <c r="B14" s="40"/>
      <c r="C14" s="40"/>
      <c r="D14" s="40">
        <v>3672</v>
      </c>
      <c r="E14" s="40" t="s">
        <v>0</v>
      </c>
      <c r="F14" s="40">
        <v>16160</v>
      </c>
      <c r="G14" s="40"/>
    </row>
    <row r="15" spans="1:7" x14ac:dyDescent="0.25">
      <c r="A15" s="40" t="s">
        <v>328</v>
      </c>
      <c r="B15" s="40"/>
      <c r="C15" s="40"/>
      <c r="D15" s="40"/>
      <c r="E15" s="40" t="s">
        <v>0</v>
      </c>
      <c r="F15" s="40">
        <v>16000</v>
      </c>
      <c r="G15" s="40"/>
    </row>
    <row r="16" spans="1:7" x14ac:dyDescent="0.25">
      <c r="A16" s="40" t="s">
        <v>71</v>
      </c>
      <c r="B16" s="40"/>
      <c r="C16" s="40"/>
      <c r="D16" s="40">
        <v>3615</v>
      </c>
      <c r="E16" s="40"/>
      <c r="F16" s="40">
        <v>15375</v>
      </c>
      <c r="G16" s="40"/>
    </row>
    <row r="17" spans="1:7" x14ac:dyDescent="0.25">
      <c r="A17" s="40" t="s">
        <v>61</v>
      </c>
      <c r="B17" s="54"/>
      <c r="C17" s="57"/>
      <c r="D17" s="40">
        <v>3574</v>
      </c>
      <c r="E17" s="40" t="s">
        <v>0</v>
      </c>
      <c r="F17" s="40">
        <v>15000</v>
      </c>
      <c r="G17" s="40"/>
    </row>
    <row r="18" spans="1:7" x14ac:dyDescent="0.25">
      <c r="A18" s="40" t="s">
        <v>389</v>
      </c>
      <c r="B18" s="54"/>
      <c r="C18" s="57"/>
      <c r="D18" s="40">
        <v>3580</v>
      </c>
      <c r="E18" s="40" t="s">
        <v>0</v>
      </c>
      <c r="F18" s="40">
        <v>14764</v>
      </c>
      <c r="G18" s="40"/>
    </row>
    <row r="19" spans="1:7" x14ac:dyDescent="0.25">
      <c r="A19" s="40" t="s">
        <v>226</v>
      </c>
      <c r="B19" s="40"/>
      <c r="C19" s="40"/>
      <c r="D19" s="40">
        <v>3841</v>
      </c>
      <c r="E19" s="40" t="s">
        <v>0</v>
      </c>
      <c r="F19" s="40">
        <v>13870</v>
      </c>
      <c r="G19" s="40"/>
    </row>
    <row r="20" spans="1:7" x14ac:dyDescent="0.25">
      <c r="A20" s="40" t="s">
        <v>60</v>
      </c>
      <c r="B20" s="40"/>
      <c r="C20" s="40"/>
      <c r="D20" s="40">
        <v>3576</v>
      </c>
      <c r="E20" s="40" t="s">
        <v>0</v>
      </c>
      <c r="F20" s="40">
        <v>13150</v>
      </c>
      <c r="G20" s="40"/>
    </row>
    <row r="21" spans="1:7" x14ac:dyDescent="0.25">
      <c r="A21" s="40" t="s">
        <v>70</v>
      </c>
      <c r="B21" s="54"/>
      <c r="C21" s="57"/>
      <c r="D21" s="40">
        <v>3617</v>
      </c>
      <c r="E21" s="40"/>
      <c r="F21" s="40">
        <v>12764</v>
      </c>
      <c r="G21" s="40"/>
    </row>
    <row r="22" spans="1:7" x14ac:dyDescent="0.25">
      <c r="A22" s="40" t="s">
        <v>154</v>
      </c>
      <c r="B22" s="40"/>
      <c r="C22" s="40"/>
      <c r="D22" s="40">
        <v>3727</v>
      </c>
      <c r="E22" s="40" t="s">
        <v>0</v>
      </c>
      <c r="F22" s="40">
        <v>10500</v>
      </c>
      <c r="G22" s="40"/>
    </row>
    <row r="23" spans="1:7" x14ac:dyDescent="0.25">
      <c r="A23" s="40" t="s">
        <v>67</v>
      </c>
      <c r="B23" s="40"/>
      <c r="C23" s="40"/>
      <c r="D23" s="40">
        <v>3619</v>
      </c>
      <c r="E23" s="40"/>
      <c r="F23" s="40">
        <v>9794</v>
      </c>
      <c r="G23" s="40"/>
    </row>
    <row r="24" spans="1:7" x14ac:dyDescent="0.25">
      <c r="A24" s="40" t="s">
        <v>55</v>
      </c>
      <c r="B24" s="40"/>
      <c r="C24" s="40"/>
      <c r="D24" s="40">
        <v>3572</v>
      </c>
      <c r="E24" s="40" t="s">
        <v>0</v>
      </c>
      <c r="F24" s="40">
        <v>8100</v>
      </c>
      <c r="G24" s="40"/>
    </row>
    <row r="25" spans="1:7" x14ac:dyDescent="0.25">
      <c r="A25" s="40" t="s">
        <v>54</v>
      </c>
      <c r="B25" s="40"/>
      <c r="C25" s="40"/>
      <c r="D25" s="40">
        <v>3560</v>
      </c>
      <c r="E25" s="40" t="s">
        <v>0</v>
      </c>
      <c r="F25" s="40">
        <v>6417</v>
      </c>
      <c r="G25" s="40"/>
    </row>
    <row r="26" spans="1:7" x14ac:dyDescent="0.25">
      <c r="A26" s="40" t="s">
        <v>72</v>
      </c>
      <c r="B26" s="54"/>
      <c r="C26" s="57"/>
      <c r="D26" s="40">
        <v>3630</v>
      </c>
      <c r="E26" s="40" t="s">
        <v>0</v>
      </c>
      <c r="F26" s="40">
        <v>0</v>
      </c>
      <c r="G26" s="40"/>
    </row>
    <row r="27" spans="1:7" x14ac:dyDescent="0.25">
      <c r="A27" s="40" t="s">
        <v>66</v>
      </c>
      <c r="B27" s="54"/>
      <c r="C27" s="57"/>
      <c r="D27" s="40">
        <v>3609</v>
      </c>
      <c r="E27" s="40" t="s">
        <v>0</v>
      </c>
      <c r="F27" s="40">
        <v>5000</v>
      </c>
      <c r="G27" s="40"/>
    </row>
    <row r="28" spans="1:7" x14ac:dyDescent="0.25">
      <c r="A28" s="40" t="s">
        <v>136</v>
      </c>
      <c r="B28" s="40"/>
      <c r="C28" s="40"/>
      <c r="D28" s="40">
        <v>3700</v>
      </c>
      <c r="E28" s="40" t="s">
        <v>0</v>
      </c>
      <c r="F28" s="40">
        <v>4690</v>
      </c>
      <c r="G28" s="40"/>
    </row>
    <row r="29" spans="1:7" x14ac:dyDescent="0.25">
      <c r="A29" s="40" t="s">
        <v>346</v>
      </c>
      <c r="B29" s="40"/>
      <c r="C29" s="40"/>
      <c r="D29" s="40"/>
      <c r="E29" s="40"/>
      <c r="F29" s="40">
        <v>4480</v>
      </c>
      <c r="G29" s="40"/>
    </row>
    <row r="30" spans="1:7" x14ac:dyDescent="0.25">
      <c r="A30" s="40" t="s">
        <v>326</v>
      </c>
      <c r="B30" s="54"/>
      <c r="C30" s="57"/>
      <c r="D30" s="40">
        <v>3568</v>
      </c>
      <c r="E30" s="40" t="s">
        <v>0</v>
      </c>
      <c r="F30" s="40">
        <v>500</v>
      </c>
      <c r="G30" s="40"/>
    </row>
    <row r="31" spans="1:7" x14ac:dyDescent="0.25">
      <c r="A31" s="40" t="s">
        <v>64</v>
      </c>
      <c r="B31" s="54"/>
      <c r="C31" s="57"/>
      <c r="D31" s="40">
        <v>3595</v>
      </c>
      <c r="E31" s="40" t="s">
        <v>0</v>
      </c>
      <c r="F31" s="40">
        <v>2500</v>
      </c>
      <c r="G31" s="40"/>
    </row>
    <row r="32" spans="1:7" x14ac:dyDescent="0.25">
      <c r="A32" s="40" t="s">
        <v>53</v>
      </c>
      <c r="B32" s="54"/>
      <c r="C32" s="57"/>
      <c r="D32" s="40">
        <v>3556</v>
      </c>
      <c r="E32" s="40" t="s">
        <v>0</v>
      </c>
      <c r="F32" s="40">
        <v>0</v>
      </c>
      <c r="G32" s="40"/>
    </row>
    <row r="33" spans="1:7" x14ac:dyDescent="0.25">
      <c r="A33" s="40" t="s">
        <v>367</v>
      </c>
      <c r="B33" s="40"/>
      <c r="C33" s="40"/>
      <c r="D33" s="40">
        <v>3982</v>
      </c>
      <c r="E33" s="40"/>
      <c r="F33" s="40">
        <v>2000</v>
      </c>
      <c r="G33" s="40"/>
    </row>
    <row r="34" spans="1:7" x14ac:dyDescent="0.25">
      <c r="A34" s="40" t="s">
        <v>20</v>
      </c>
      <c r="B34" s="40"/>
      <c r="C34" s="40"/>
      <c r="D34" s="40">
        <v>3541</v>
      </c>
      <c r="E34" s="40"/>
      <c r="F34" s="40">
        <v>1700</v>
      </c>
      <c r="G34" s="40"/>
    </row>
    <row r="35" spans="1:7" x14ac:dyDescent="0.25">
      <c r="A35" s="40" t="s">
        <v>56</v>
      </c>
      <c r="B35" s="40"/>
      <c r="C35" s="40"/>
      <c r="D35" s="40">
        <v>3578</v>
      </c>
      <c r="E35" s="40" t="s">
        <v>0</v>
      </c>
      <c r="F35" s="40">
        <v>854</v>
      </c>
      <c r="G35" s="40"/>
    </row>
    <row r="36" spans="1:7" x14ac:dyDescent="0.25">
      <c r="A36" s="40" t="s">
        <v>120</v>
      </c>
      <c r="B36" s="54"/>
      <c r="C36" s="57"/>
      <c r="D36" s="40">
        <v>3664</v>
      </c>
      <c r="E36" s="40" t="s">
        <v>0</v>
      </c>
      <c r="F36" s="40">
        <v>139</v>
      </c>
      <c r="G36" s="40"/>
    </row>
    <row r="37" spans="1:7" x14ac:dyDescent="0.25">
      <c r="A37" s="40" t="s">
        <v>165</v>
      </c>
      <c r="B37" s="54"/>
      <c r="C37" s="57"/>
      <c r="D37" s="40">
        <v>3738</v>
      </c>
      <c r="E37" s="40" t="s">
        <v>0</v>
      </c>
      <c r="F37" s="40">
        <v>0</v>
      </c>
      <c r="G37" s="40"/>
    </row>
    <row r="38" spans="1:7" x14ac:dyDescent="0.25">
      <c r="A38" s="40" t="s">
        <v>143</v>
      </c>
      <c r="B38" s="40"/>
      <c r="C38" s="40"/>
      <c r="D38" s="40">
        <v>3722</v>
      </c>
      <c r="E38" s="40" t="s">
        <v>0</v>
      </c>
      <c r="F38" s="40">
        <v>0</v>
      </c>
      <c r="G38" s="40"/>
    </row>
    <row r="39" spans="1:7" x14ac:dyDescent="0.25">
      <c r="A39" s="40" t="s">
        <v>170</v>
      </c>
      <c r="B39" s="40"/>
      <c r="C39" s="40"/>
      <c r="D39" s="40">
        <v>3792</v>
      </c>
      <c r="E39" s="40" t="s">
        <v>0</v>
      </c>
      <c r="F39" s="40">
        <v>0</v>
      </c>
      <c r="G39" s="40"/>
    </row>
    <row r="40" spans="1:7" x14ac:dyDescent="0.25">
      <c r="A40" s="40" t="s">
        <v>220</v>
      </c>
      <c r="B40" s="54"/>
      <c r="C40" s="57"/>
      <c r="D40" s="40">
        <v>3388</v>
      </c>
      <c r="E40" s="40"/>
      <c r="F40" s="40">
        <v>0</v>
      </c>
      <c r="G40" s="40"/>
    </row>
    <row r="41" spans="1:7" x14ac:dyDescent="0.25">
      <c r="A41" s="40" t="s">
        <v>58</v>
      </c>
      <c r="B41" s="54"/>
      <c r="C41" s="57"/>
      <c r="D41" s="40">
        <v>3566</v>
      </c>
      <c r="E41" s="40" t="s">
        <v>0</v>
      </c>
      <c r="F41" s="40">
        <v>0</v>
      </c>
      <c r="G41" s="40"/>
    </row>
    <row r="42" spans="1:7" x14ac:dyDescent="0.25">
      <c r="A42" s="40" t="s">
        <v>69</v>
      </c>
      <c r="B42" s="40"/>
      <c r="C42" s="40"/>
      <c r="D42" s="40">
        <v>3564</v>
      </c>
      <c r="E42" s="40" t="s">
        <v>0</v>
      </c>
      <c r="F42" s="40">
        <v>0</v>
      </c>
      <c r="G42" s="40"/>
    </row>
    <row r="43" spans="1:7" x14ac:dyDescent="0.25">
      <c r="A43" s="40" t="s">
        <v>63</v>
      </c>
      <c r="B43" s="40"/>
      <c r="C43" s="40"/>
      <c r="D43" s="40">
        <v>3593</v>
      </c>
      <c r="E43" s="40"/>
      <c r="F43" s="40">
        <v>0</v>
      </c>
      <c r="G43" s="40"/>
    </row>
    <row r="44" spans="1:7" x14ac:dyDescent="0.25">
      <c r="A44" s="40" t="s">
        <v>68</v>
      </c>
      <c r="B44" s="40"/>
      <c r="C44" s="40"/>
      <c r="D44" s="40">
        <v>3564</v>
      </c>
      <c r="E44" s="40" t="s">
        <v>0</v>
      </c>
      <c r="F44" s="40">
        <v>0</v>
      </c>
      <c r="G44" s="40"/>
    </row>
    <row r="45" spans="1:7" x14ac:dyDescent="0.25">
      <c r="A45" s="54"/>
      <c r="B45" s="58"/>
      <c r="C45" s="57"/>
      <c r="D45" s="40"/>
      <c r="E45" s="40"/>
      <c r="F45" s="40">
        <v>1578792</v>
      </c>
      <c r="G45" s="40"/>
    </row>
  </sheetData>
  <sortState ref="A3:I43">
    <sortCondition descending="1" ref="F3:F43"/>
  </sortState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30"/>
  <sheetViews>
    <sheetView workbookViewId="0">
      <selection activeCell="O21" sqref="O21"/>
    </sheetView>
  </sheetViews>
  <sheetFormatPr defaultRowHeight="15" x14ac:dyDescent="0.25"/>
  <cols>
    <col min="5" max="5" width="6.42578125" customWidth="1"/>
    <col min="7" max="7" width="4.7109375" customWidth="1"/>
  </cols>
  <sheetData>
    <row r="1" spans="1:12" ht="15.75" thickBot="1" x14ac:dyDescent="0.3">
      <c r="A1" t="s">
        <v>163</v>
      </c>
    </row>
    <row r="2" spans="1:12" ht="15.75" thickBot="1" x14ac:dyDescent="0.3">
      <c r="A2" s="23"/>
      <c r="B2" s="8" t="s">
        <v>7</v>
      </c>
      <c r="C2" s="9"/>
      <c r="D2" s="9"/>
      <c r="E2" s="9"/>
      <c r="F2" s="9" t="s">
        <v>62</v>
      </c>
      <c r="G2" s="9"/>
      <c r="H2" s="9" t="s">
        <v>114</v>
      </c>
      <c r="I2" s="20" t="s">
        <v>4</v>
      </c>
      <c r="J2" s="20" t="s">
        <v>113</v>
      </c>
      <c r="K2" s="29"/>
      <c r="L2" s="29"/>
    </row>
    <row r="3" spans="1:12" ht="15.75" thickBot="1" x14ac:dyDescent="0.3">
      <c r="A3" s="28">
        <v>3</v>
      </c>
      <c r="B3" s="28" t="s">
        <v>111</v>
      </c>
      <c r="C3" s="29"/>
      <c r="D3" s="29"/>
      <c r="E3" s="30"/>
      <c r="F3" s="30">
        <v>2925</v>
      </c>
      <c r="G3" s="31"/>
      <c r="H3" s="30">
        <v>17474</v>
      </c>
      <c r="I3" s="30">
        <v>17787</v>
      </c>
      <c r="J3" s="32">
        <v>35261</v>
      </c>
      <c r="K3" s="29"/>
      <c r="L3" s="29"/>
    </row>
    <row r="4" spans="1:12" ht="15.75" thickBot="1" x14ac:dyDescent="0.3">
      <c r="A4" s="7">
        <v>27</v>
      </c>
      <c r="B4" s="8" t="s">
        <v>77</v>
      </c>
      <c r="C4" s="9"/>
      <c r="D4" s="9"/>
      <c r="E4" s="20"/>
      <c r="F4" s="7">
        <v>3540</v>
      </c>
      <c r="G4" s="7"/>
      <c r="H4" s="20">
        <v>17474</v>
      </c>
      <c r="I4" s="20">
        <v>0</v>
      </c>
      <c r="J4" s="20">
        <v>17474</v>
      </c>
      <c r="K4" s="29"/>
      <c r="L4" s="29"/>
    </row>
    <row r="5" spans="1:12" ht="15.75" thickBot="1" x14ac:dyDescent="0.3">
      <c r="A5" s="8">
        <v>5</v>
      </c>
      <c r="B5" s="8" t="s">
        <v>84</v>
      </c>
      <c r="C5" s="9"/>
      <c r="D5" s="9"/>
      <c r="E5" s="20"/>
      <c r="F5" s="20">
        <v>3336</v>
      </c>
      <c r="G5" s="7" t="s">
        <v>0</v>
      </c>
      <c r="H5" s="33">
        <v>13000</v>
      </c>
      <c r="I5" s="20">
        <v>0</v>
      </c>
      <c r="J5" s="33">
        <v>13000</v>
      </c>
      <c r="K5" s="29"/>
      <c r="L5" s="29"/>
    </row>
    <row r="6" spans="1:12" ht="15.75" thickBot="1" x14ac:dyDescent="0.3">
      <c r="A6" s="28">
        <v>21</v>
      </c>
      <c r="B6" s="28" t="s">
        <v>83</v>
      </c>
      <c r="C6" s="29"/>
      <c r="D6" s="29"/>
      <c r="E6" s="30"/>
      <c r="F6" s="30">
        <v>3211</v>
      </c>
      <c r="G6" s="31" t="s">
        <v>0</v>
      </c>
      <c r="H6" s="32">
        <v>11500</v>
      </c>
      <c r="I6" s="30">
        <v>0</v>
      </c>
      <c r="J6" s="32">
        <v>11500</v>
      </c>
      <c r="K6" s="29"/>
      <c r="L6" s="29"/>
    </row>
    <row r="7" spans="1:12" ht="15.75" thickBot="1" x14ac:dyDescent="0.3">
      <c r="A7" s="8">
        <v>35</v>
      </c>
      <c r="B7" s="8" t="s">
        <v>140</v>
      </c>
      <c r="C7" s="9"/>
      <c r="D7" s="9"/>
      <c r="E7" s="20"/>
      <c r="F7" s="20"/>
      <c r="G7" s="7" t="s">
        <v>0</v>
      </c>
      <c r="H7" s="33">
        <v>7474</v>
      </c>
      <c r="I7" s="20"/>
      <c r="J7" s="20">
        <v>7474</v>
      </c>
      <c r="K7" s="29"/>
      <c r="L7" s="29"/>
    </row>
    <row r="8" spans="1:12" ht="15.75" thickBot="1" x14ac:dyDescent="0.3">
      <c r="A8" s="28">
        <v>34</v>
      </c>
      <c r="B8" s="28" t="s">
        <v>132</v>
      </c>
      <c r="C8" s="29"/>
      <c r="D8" s="29"/>
      <c r="E8" s="30"/>
      <c r="F8" s="30">
        <v>3115</v>
      </c>
      <c r="G8" s="31" t="s">
        <v>0</v>
      </c>
      <c r="H8" s="32">
        <v>4000</v>
      </c>
      <c r="I8" s="30"/>
      <c r="J8" s="32">
        <v>4000</v>
      </c>
      <c r="K8" s="29"/>
      <c r="L8" s="29"/>
    </row>
    <row r="9" spans="1:12" ht="15.75" thickBot="1" x14ac:dyDescent="0.3">
      <c r="A9" s="8">
        <v>12</v>
      </c>
      <c r="B9" s="8" t="s">
        <v>92</v>
      </c>
      <c r="C9" s="9"/>
      <c r="D9" s="9"/>
      <c r="E9" s="20"/>
      <c r="F9" s="20">
        <v>3225</v>
      </c>
      <c r="G9" s="7" t="s">
        <v>0</v>
      </c>
      <c r="H9" s="33">
        <v>3945</v>
      </c>
      <c r="I9" s="20">
        <v>0</v>
      </c>
      <c r="J9" s="33">
        <v>3945</v>
      </c>
      <c r="K9" s="29"/>
      <c r="L9" s="29"/>
    </row>
    <row r="10" spans="1:12" ht="15.75" thickBot="1" x14ac:dyDescent="0.3">
      <c r="A10" s="28">
        <v>23</v>
      </c>
      <c r="B10" s="28" t="s">
        <v>86</v>
      </c>
      <c r="C10" s="29"/>
      <c r="D10" s="29"/>
      <c r="E10" s="30"/>
      <c r="F10" s="30">
        <v>3287</v>
      </c>
      <c r="G10" s="31" t="s">
        <v>0</v>
      </c>
      <c r="H10" s="32">
        <v>4000</v>
      </c>
      <c r="I10" s="30">
        <v>0</v>
      </c>
      <c r="J10" s="32">
        <v>4000</v>
      </c>
      <c r="K10" s="29"/>
      <c r="L10" s="29"/>
    </row>
    <row r="11" spans="1:12" ht="15.75" thickBot="1" x14ac:dyDescent="0.3">
      <c r="A11" s="8">
        <v>26</v>
      </c>
      <c r="B11" s="8" t="s">
        <v>85</v>
      </c>
      <c r="C11" s="9"/>
      <c r="D11" s="9"/>
      <c r="E11" s="20"/>
      <c r="F11" s="20">
        <v>3281</v>
      </c>
      <c r="G11" s="7" t="s">
        <v>0</v>
      </c>
      <c r="H11" s="33">
        <v>3886</v>
      </c>
      <c r="I11" s="20">
        <v>0</v>
      </c>
      <c r="J11" s="33">
        <v>3886</v>
      </c>
      <c r="K11" s="29"/>
      <c r="L11" s="29"/>
    </row>
    <row r="12" spans="1:12" ht="15.75" thickBot="1" x14ac:dyDescent="0.3">
      <c r="A12" s="28">
        <v>14</v>
      </c>
      <c r="B12" s="28" t="s">
        <v>48</v>
      </c>
      <c r="C12" s="29"/>
      <c r="D12" s="29"/>
      <c r="E12" s="30"/>
      <c r="F12" s="30">
        <v>3247</v>
      </c>
      <c r="G12" s="31" t="s">
        <v>0</v>
      </c>
      <c r="H12" s="30">
        <v>2970</v>
      </c>
      <c r="I12" s="30">
        <v>0</v>
      </c>
      <c r="J12" s="30">
        <v>2970</v>
      </c>
      <c r="K12" s="29"/>
      <c r="L12" s="29"/>
    </row>
    <row r="13" spans="1:12" ht="15.75" thickBot="1" x14ac:dyDescent="0.3">
      <c r="A13" s="8">
        <v>24</v>
      </c>
      <c r="B13" s="8" t="s">
        <v>47</v>
      </c>
      <c r="C13" s="9"/>
      <c r="D13" s="9"/>
      <c r="E13" s="20"/>
      <c r="F13" s="20"/>
      <c r="G13" s="7"/>
      <c r="H13" s="33">
        <v>2474</v>
      </c>
      <c r="I13" s="20">
        <v>0</v>
      </c>
      <c r="J13" s="33">
        <v>2474</v>
      </c>
      <c r="K13" s="29"/>
      <c r="L13" s="29"/>
    </row>
    <row r="14" spans="1:12" ht="15.75" thickBot="1" x14ac:dyDescent="0.3">
      <c r="A14" s="28">
        <v>19</v>
      </c>
      <c r="B14" s="28" t="s">
        <v>112</v>
      </c>
      <c r="C14" s="29"/>
      <c r="D14" s="29"/>
      <c r="E14" s="30"/>
      <c r="F14" s="30">
        <v>3544</v>
      </c>
      <c r="G14" s="31"/>
      <c r="H14" s="32">
        <v>2346</v>
      </c>
      <c r="I14" s="30">
        <v>0</v>
      </c>
      <c r="J14" s="32">
        <v>2346</v>
      </c>
      <c r="K14" s="29"/>
      <c r="L14" s="29"/>
    </row>
    <row r="15" spans="1:12" ht="15.75" thickBot="1" x14ac:dyDescent="0.3">
      <c r="A15" s="8">
        <v>20</v>
      </c>
      <c r="B15" s="8" t="s">
        <v>78</v>
      </c>
      <c r="C15" s="9"/>
      <c r="D15" s="9"/>
      <c r="E15" s="20"/>
      <c r="F15" s="20">
        <v>3244</v>
      </c>
      <c r="G15" s="7" t="s">
        <v>0</v>
      </c>
      <c r="H15" s="33">
        <v>1740</v>
      </c>
      <c r="I15" s="20">
        <v>0</v>
      </c>
      <c r="J15" s="33">
        <v>1740</v>
      </c>
      <c r="K15" s="29"/>
      <c r="L15" s="29"/>
    </row>
    <row r="16" spans="1:12" ht="15.75" thickBot="1" x14ac:dyDescent="0.3">
      <c r="A16" s="8">
        <v>15</v>
      </c>
      <c r="B16" s="8" t="s">
        <v>89</v>
      </c>
      <c r="C16" s="9"/>
      <c r="D16" s="9"/>
      <c r="E16" s="20"/>
      <c r="F16" s="20">
        <v>3177</v>
      </c>
      <c r="G16" s="7"/>
      <c r="H16" s="33">
        <v>1504</v>
      </c>
      <c r="I16" s="20">
        <v>0</v>
      </c>
      <c r="J16" s="33">
        <v>1504</v>
      </c>
      <c r="K16" s="29"/>
      <c r="L16" s="29"/>
    </row>
    <row r="17" spans="1:12" ht="15.75" thickBot="1" x14ac:dyDescent="0.3">
      <c r="A17" s="28">
        <v>31</v>
      </c>
      <c r="B17" s="28" t="s">
        <v>90</v>
      </c>
      <c r="C17" s="29"/>
      <c r="D17" s="29"/>
      <c r="E17" s="30"/>
      <c r="F17" s="30">
        <v>3240</v>
      </c>
      <c r="G17" s="31" t="s">
        <v>0</v>
      </c>
      <c r="H17" s="32">
        <v>770</v>
      </c>
      <c r="I17" s="30">
        <v>0</v>
      </c>
      <c r="J17" s="32">
        <v>770</v>
      </c>
      <c r="K17" s="29"/>
      <c r="L17" s="29"/>
    </row>
    <row r="18" spans="1:12" ht="15.75" thickBot="1" x14ac:dyDescent="0.3">
      <c r="A18" s="8">
        <v>2</v>
      </c>
      <c r="B18" s="8" t="s">
        <v>82</v>
      </c>
      <c r="C18" s="9"/>
      <c r="D18" s="9"/>
      <c r="E18" s="20"/>
      <c r="F18" s="20">
        <v>3338</v>
      </c>
      <c r="G18" s="7" t="s">
        <v>0</v>
      </c>
      <c r="H18" s="33">
        <v>0</v>
      </c>
      <c r="I18" s="20">
        <v>0</v>
      </c>
      <c r="J18" s="33">
        <v>0</v>
      </c>
      <c r="K18" s="29"/>
      <c r="L18" s="29"/>
    </row>
    <row r="19" spans="1:12" ht="15.75" thickBot="1" x14ac:dyDescent="0.3">
      <c r="A19" s="28">
        <v>11</v>
      </c>
      <c r="B19" s="28" t="s">
        <v>76</v>
      </c>
      <c r="C19" s="29"/>
      <c r="D19" s="29"/>
      <c r="E19" s="30"/>
      <c r="F19" s="30">
        <v>3342</v>
      </c>
      <c r="G19" s="31"/>
      <c r="H19" s="32">
        <v>0</v>
      </c>
      <c r="I19" s="30">
        <v>0</v>
      </c>
      <c r="J19" s="32">
        <v>0</v>
      </c>
      <c r="K19" s="29"/>
      <c r="L19" s="29"/>
    </row>
    <row r="20" spans="1:12" ht="15.75" thickBot="1" x14ac:dyDescent="0.3">
      <c r="A20" s="8">
        <v>35</v>
      </c>
      <c r="B20" s="8" t="s">
        <v>149</v>
      </c>
      <c r="C20" s="9"/>
      <c r="D20" s="9"/>
      <c r="E20" s="20"/>
      <c r="F20" s="20">
        <v>3704</v>
      </c>
      <c r="G20" s="7" t="s">
        <v>0</v>
      </c>
      <c r="H20" s="33">
        <v>0</v>
      </c>
      <c r="I20" s="20"/>
      <c r="J20" s="33">
        <v>0</v>
      </c>
      <c r="K20" s="29"/>
      <c r="L20" s="29"/>
    </row>
    <row r="21" spans="1:12" ht="15.75" thickBot="1" x14ac:dyDescent="0.3">
      <c r="A21" s="8">
        <v>29</v>
      </c>
      <c r="B21" s="8" t="s">
        <v>49</v>
      </c>
      <c r="C21" s="9"/>
      <c r="D21" s="9"/>
      <c r="E21" s="20"/>
      <c r="F21" s="9">
        <v>3542</v>
      </c>
      <c r="G21" s="7"/>
      <c r="H21" s="33">
        <v>0</v>
      </c>
      <c r="I21" s="20">
        <v>0</v>
      </c>
      <c r="J21" s="33">
        <v>0</v>
      </c>
      <c r="K21" s="29"/>
      <c r="L21" s="29"/>
    </row>
    <row r="22" spans="1:12" ht="15.75" thickBot="1" x14ac:dyDescent="0.3">
      <c r="A22" s="8">
        <v>4</v>
      </c>
      <c r="B22" s="8" t="s">
        <v>73</v>
      </c>
      <c r="C22" s="9"/>
      <c r="D22" s="9"/>
      <c r="E22" s="20"/>
      <c r="F22" s="9">
        <v>3259</v>
      </c>
      <c r="G22" s="7" t="s">
        <v>0</v>
      </c>
      <c r="H22" s="33">
        <v>0</v>
      </c>
      <c r="I22" s="20">
        <v>0</v>
      </c>
      <c r="J22" s="33">
        <v>0</v>
      </c>
      <c r="K22" s="29"/>
      <c r="L22" s="29"/>
    </row>
    <row r="23" spans="1:12" ht="15.75" thickBot="1" x14ac:dyDescent="0.3">
      <c r="A23" s="8">
        <v>25</v>
      </c>
      <c r="B23" s="8" t="s">
        <v>81</v>
      </c>
      <c r="C23" s="9"/>
      <c r="D23" s="9"/>
      <c r="E23" s="20"/>
      <c r="F23" s="9">
        <v>3175</v>
      </c>
      <c r="G23" s="7"/>
      <c r="H23" s="20">
        <v>0</v>
      </c>
      <c r="I23" s="20">
        <v>0</v>
      </c>
      <c r="J23" s="20">
        <v>0</v>
      </c>
      <c r="K23" s="29"/>
      <c r="L23" s="29"/>
    </row>
    <row r="24" spans="1:12" ht="15.75" thickBot="1" x14ac:dyDescent="0.3">
      <c r="A24" s="8">
        <v>17</v>
      </c>
      <c r="B24" s="9" t="s">
        <v>75</v>
      </c>
      <c r="C24" s="9"/>
      <c r="D24" s="9"/>
      <c r="E24" s="9"/>
      <c r="F24" s="9">
        <v>3256</v>
      </c>
      <c r="G24" s="7"/>
      <c r="H24" s="33">
        <v>0</v>
      </c>
      <c r="I24" s="20">
        <v>0</v>
      </c>
      <c r="J24" s="33">
        <v>0</v>
      </c>
      <c r="K24" s="29"/>
      <c r="L24" s="29"/>
    </row>
    <row r="25" spans="1:12" ht="15.75" thickBot="1" x14ac:dyDescent="0.3">
      <c r="A25" s="8">
        <v>22</v>
      </c>
      <c r="B25" s="9" t="s">
        <v>91</v>
      </c>
      <c r="C25" s="9"/>
      <c r="D25" s="9"/>
      <c r="E25" s="9"/>
      <c r="F25" s="9">
        <v>3296</v>
      </c>
      <c r="G25" s="7" t="s">
        <v>0</v>
      </c>
      <c r="H25" s="33">
        <v>0</v>
      </c>
      <c r="I25" s="20">
        <v>0</v>
      </c>
      <c r="J25" s="33">
        <v>0</v>
      </c>
      <c r="K25" s="29"/>
      <c r="L25" s="29"/>
    </row>
    <row r="26" spans="1:12" ht="15.75" thickBot="1" x14ac:dyDescent="0.3">
      <c r="A26" s="8">
        <v>30</v>
      </c>
      <c r="B26" s="9" t="s">
        <v>88</v>
      </c>
      <c r="C26" s="9"/>
      <c r="D26" s="9"/>
      <c r="E26" s="9"/>
      <c r="F26" s="9">
        <v>3059</v>
      </c>
      <c r="G26" s="7" t="s">
        <v>0</v>
      </c>
      <c r="H26" s="33">
        <v>0</v>
      </c>
      <c r="I26" s="20">
        <v>0</v>
      </c>
      <c r="J26" s="33">
        <v>0</v>
      </c>
      <c r="K26" s="29"/>
      <c r="L26" s="29"/>
    </row>
    <row r="27" spans="1:12" ht="15.75" thickBot="1" x14ac:dyDescent="0.3">
      <c r="A27" s="8">
        <v>28</v>
      </c>
      <c r="B27" s="9" t="s">
        <v>87</v>
      </c>
      <c r="C27" s="9"/>
      <c r="D27" s="9"/>
      <c r="E27" s="9"/>
      <c r="F27" s="9">
        <v>3073</v>
      </c>
      <c r="G27" s="7" t="s">
        <v>0</v>
      </c>
      <c r="H27" s="20">
        <v>0</v>
      </c>
      <c r="I27" s="20">
        <v>0</v>
      </c>
      <c r="J27" s="20">
        <v>0</v>
      </c>
      <c r="K27" s="29"/>
      <c r="L27" s="29"/>
    </row>
    <row r="28" spans="1:12" ht="15.75" thickBot="1" x14ac:dyDescent="0.3">
      <c r="A28" s="8">
        <v>18</v>
      </c>
      <c r="B28" s="9" t="s">
        <v>80</v>
      </c>
      <c r="C28" s="9"/>
      <c r="D28" s="9"/>
      <c r="E28" s="9"/>
      <c r="F28" s="9">
        <v>3254</v>
      </c>
      <c r="G28" s="7" t="s">
        <v>0</v>
      </c>
      <c r="H28" s="33">
        <v>0</v>
      </c>
      <c r="I28" s="20">
        <v>0</v>
      </c>
      <c r="J28" s="20">
        <v>0</v>
      </c>
      <c r="K28" s="29"/>
      <c r="L28" s="29"/>
    </row>
    <row r="29" spans="1:12" ht="15.75" thickBot="1" x14ac:dyDescent="0.3">
      <c r="A29" s="8">
        <v>32</v>
      </c>
      <c r="B29" s="9" t="s">
        <v>79</v>
      </c>
      <c r="C29" s="9"/>
      <c r="D29" s="9"/>
      <c r="E29" s="9"/>
      <c r="F29" s="9">
        <v>3267</v>
      </c>
      <c r="G29" s="7" t="s">
        <v>0</v>
      </c>
      <c r="H29" s="33">
        <v>0</v>
      </c>
      <c r="I29" s="20">
        <v>0</v>
      </c>
      <c r="J29" s="20">
        <v>0</v>
      </c>
      <c r="K29" s="29"/>
      <c r="L29" s="29"/>
    </row>
    <row r="30" spans="1:12" x14ac:dyDescent="0.25">
      <c r="B30" s="39" t="s">
        <v>57</v>
      </c>
      <c r="H30" s="26">
        <f>SUM(H3:H29)</f>
        <v>94557</v>
      </c>
      <c r="I30">
        <f>SUM(I3:I29)</f>
        <v>17787</v>
      </c>
      <c r="J30">
        <f>SUM(J3:J29)</f>
        <v>112344</v>
      </c>
    </row>
  </sheetData>
  <sortState ref="A3:J29">
    <sortCondition descending="1" ref="J3:J29"/>
  </sortState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R40"/>
  <sheetViews>
    <sheetView topLeftCell="B1" workbookViewId="0">
      <selection activeCell="K2" sqref="K2:L14"/>
    </sheetView>
  </sheetViews>
  <sheetFormatPr defaultRowHeight="15" x14ac:dyDescent="0.25"/>
  <cols>
    <col min="1" max="1" width="2.7109375" hidden="1" customWidth="1"/>
    <col min="2" max="2" width="3.7109375" customWidth="1"/>
    <col min="3" max="3" width="8.85546875" customWidth="1"/>
    <col min="4" max="4" width="14.140625" customWidth="1"/>
    <col min="5" max="5" width="9" customWidth="1"/>
    <col min="6" max="6" width="4.5703125" customWidth="1"/>
    <col min="7" max="7" width="0.28515625" customWidth="1"/>
  </cols>
  <sheetData>
    <row r="1" spans="1:10" s="56" customFormat="1" ht="15.75" x14ac:dyDescent="0.25">
      <c r="A1" s="56" t="s">
        <v>324</v>
      </c>
      <c r="C1" s="56" t="s">
        <v>547</v>
      </c>
    </row>
    <row r="2" spans="1:10" x14ac:dyDescent="0.25">
      <c r="A2" s="40"/>
      <c r="B2" s="40"/>
      <c r="C2" s="40" t="s">
        <v>7</v>
      </c>
      <c r="D2" s="40"/>
      <c r="E2" s="40" t="s">
        <v>284</v>
      </c>
      <c r="F2" s="40"/>
      <c r="G2" s="40"/>
      <c r="H2" s="54" t="s">
        <v>114</v>
      </c>
      <c r="I2" s="54" t="s">
        <v>4</v>
      </c>
      <c r="J2" s="54" t="s">
        <v>113</v>
      </c>
    </row>
    <row r="3" spans="1:10" x14ac:dyDescent="0.25">
      <c r="A3" s="40">
        <v>3</v>
      </c>
      <c r="B3" s="40">
        <v>1</v>
      </c>
      <c r="C3" s="40" t="s">
        <v>289</v>
      </c>
      <c r="D3" s="40"/>
      <c r="E3" s="40">
        <v>3701</v>
      </c>
      <c r="F3" s="40" t="s">
        <v>0</v>
      </c>
      <c r="G3" s="40"/>
      <c r="H3" s="60">
        <v>25000</v>
      </c>
      <c r="I3" s="54">
        <v>4414</v>
      </c>
      <c r="J3" s="61">
        <v>29414</v>
      </c>
    </row>
    <row r="4" spans="1:10" x14ac:dyDescent="0.25">
      <c r="A4" s="40">
        <v>22</v>
      </c>
      <c r="B4" s="40">
        <v>6</v>
      </c>
      <c r="C4" s="40" t="s">
        <v>294</v>
      </c>
      <c r="D4" s="40"/>
      <c r="E4" s="40">
        <v>3661</v>
      </c>
      <c r="F4" s="40"/>
      <c r="G4" s="40"/>
      <c r="H4" s="60">
        <v>9000</v>
      </c>
      <c r="I4" s="54">
        <v>11774</v>
      </c>
      <c r="J4" s="61">
        <f>SUM(H4:I4)</f>
        <v>20774</v>
      </c>
    </row>
    <row r="5" spans="1:10" x14ac:dyDescent="0.25">
      <c r="A5" s="40"/>
      <c r="B5" s="40">
        <v>9</v>
      </c>
      <c r="C5" s="40" t="s">
        <v>291</v>
      </c>
      <c r="D5" s="40"/>
      <c r="E5" s="40">
        <v>3746</v>
      </c>
      <c r="F5" s="40" t="s">
        <v>0</v>
      </c>
      <c r="G5" s="40"/>
      <c r="H5" s="60">
        <v>14949</v>
      </c>
      <c r="I5" s="54">
        <v>0</v>
      </c>
      <c r="J5" s="61">
        <f>SUM(H5:I5)</f>
        <v>14949</v>
      </c>
    </row>
    <row r="6" spans="1:10" x14ac:dyDescent="0.25">
      <c r="A6" s="40">
        <v>21</v>
      </c>
      <c r="B6" s="40">
        <v>8</v>
      </c>
      <c r="C6" s="40" t="s">
        <v>353</v>
      </c>
      <c r="D6" s="40"/>
      <c r="E6" s="40">
        <v>3896</v>
      </c>
      <c r="F6" s="40" t="s">
        <v>0</v>
      </c>
      <c r="G6" s="40"/>
      <c r="H6" s="60">
        <v>13000</v>
      </c>
      <c r="I6" s="54">
        <v>0</v>
      </c>
      <c r="J6" s="61">
        <v>13000</v>
      </c>
    </row>
    <row r="7" spans="1:10" x14ac:dyDescent="0.25">
      <c r="A7" s="40">
        <v>30</v>
      </c>
      <c r="B7" s="40">
        <v>13</v>
      </c>
      <c r="C7" s="40" t="s">
        <v>290</v>
      </c>
      <c r="D7" s="40"/>
      <c r="E7" s="40">
        <v>3659</v>
      </c>
      <c r="F7" s="40" t="s">
        <v>0</v>
      </c>
      <c r="G7" s="40"/>
      <c r="H7" s="60">
        <v>9750</v>
      </c>
      <c r="I7" s="54">
        <v>0</v>
      </c>
      <c r="J7" s="61">
        <f>SUM(H7:I7)</f>
        <v>9750</v>
      </c>
    </row>
    <row r="8" spans="1:10" x14ac:dyDescent="0.25">
      <c r="A8" s="40"/>
      <c r="B8" s="40">
        <v>11</v>
      </c>
      <c r="C8" s="40" t="s">
        <v>286</v>
      </c>
      <c r="D8" s="40"/>
      <c r="E8" s="40">
        <v>3638</v>
      </c>
      <c r="F8" s="40" t="s">
        <v>0</v>
      </c>
      <c r="G8" s="40"/>
      <c r="H8" s="60">
        <v>9370</v>
      </c>
      <c r="I8" s="54">
        <v>0</v>
      </c>
      <c r="J8" s="61">
        <f>SUM(H8:I8)</f>
        <v>9370</v>
      </c>
    </row>
    <row r="9" spans="1:10" x14ac:dyDescent="0.25">
      <c r="A9" s="40">
        <v>23</v>
      </c>
      <c r="B9" s="40">
        <v>14</v>
      </c>
      <c r="C9" s="40" t="s">
        <v>144</v>
      </c>
      <c r="D9" s="40"/>
      <c r="E9" s="40">
        <v>3716</v>
      </c>
      <c r="F9" s="40"/>
      <c r="G9" s="40"/>
      <c r="H9" s="60">
        <v>8900</v>
      </c>
      <c r="I9" s="54">
        <v>0</v>
      </c>
      <c r="J9" s="61">
        <v>8900</v>
      </c>
    </row>
    <row r="10" spans="1:10" x14ac:dyDescent="0.25">
      <c r="A10" s="40">
        <v>29</v>
      </c>
      <c r="B10" s="40">
        <v>19</v>
      </c>
      <c r="C10" s="40" t="s">
        <v>403</v>
      </c>
      <c r="D10" s="40"/>
      <c r="E10" s="40">
        <v>4059</v>
      </c>
      <c r="F10" s="40"/>
      <c r="G10" s="40"/>
      <c r="H10" s="60">
        <v>3500</v>
      </c>
      <c r="I10" s="54"/>
      <c r="J10" s="61">
        <v>3500</v>
      </c>
    </row>
    <row r="11" spans="1:10" x14ac:dyDescent="0.25">
      <c r="A11" s="40">
        <v>32</v>
      </c>
      <c r="B11" s="40">
        <v>22</v>
      </c>
      <c r="C11" s="40" t="s">
        <v>297</v>
      </c>
      <c r="D11" s="40"/>
      <c r="E11" s="40">
        <v>3643</v>
      </c>
      <c r="F11" s="40" t="s">
        <v>0</v>
      </c>
      <c r="G11" s="40"/>
      <c r="H11" s="60">
        <v>2814</v>
      </c>
      <c r="I11" s="54">
        <v>0</v>
      </c>
      <c r="J11" s="61">
        <f>SUM(H11:I11)</f>
        <v>2814</v>
      </c>
    </row>
    <row r="12" spans="1:10" x14ac:dyDescent="0.25">
      <c r="A12" s="40">
        <v>25</v>
      </c>
      <c r="B12" s="40">
        <v>23</v>
      </c>
      <c r="C12" s="40" t="s">
        <v>365</v>
      </c>
      <c r="D12" s="40"/>
      <c r="E12" s="40">
        <v>3887</v>
      </c>
      <c r="F12" s="40" t="s">
        <v>0</v>
      </c>
      <c r="G12" s="40"/>
      <c r="H12" s="60">
        <v>2320</v>
      </c>
      <c r="I12" s="54">
        <v>0</v>
      </c>
      <c r="J12" s="61">
        <f>SUM(H12:I12)</f>
        <v>2320</v>
      </c>
    </row>
    <row r="13" spans="1:10" x14ac:dyDescent="0.25">
      <c r="A13" s="40"/>
      <c r="B13" s="40">
        <v>21</v>
      </c>
      <c r="C13" s="40" t="s">
        <v>400</v>
      </c>
      <c r="D13" s="40"/>
      <c r="E13" s="40">
        <v>4055</v>
      </c>
      <c r="F13" s="40" t="s">
        <v>0</v>
      </c>
      <c r="G13" s="40"/>
      <c r="H13" s="60">
        <v>2000</v>
      </c>
      <c r="I13" s="54"/>
      <c r="J13" s="61">
        <v>2000</v>
      </c>
    </row>
    <row r="14" spans="1:10" x14ac:dyDescent="0.25">
      <c r="A14" s="40">
        <v>4</v>
      </c>
      <c r="B14" s="40">
        <v>10</v>
      </c>
      <c r="C14" s="40" t="s">
        <v>384</v>
      </c>
      <c r="D14" s="40"/>
      <c r="E14" s="40">
        <v>3685</v>
      </c>
      <c r="F14" s="40" t="s">
        <v>0</v>
      </c>
      <c r="G14" s="40"/>
      <c r="H14" s="60">
        <v>1865</v>
      </c>
      <c r="I14" s="54">
        <v>0</v>
      </c>
      <c r="J14" s="61">
        <f>SUM(H14:I14)</f>
        <v>1865</v>
      </c>
    </row>
    <row r="15" spans="1:10" x14ac:dyDescent="0.25">
      <c r="A15" s="40"/>
      <c r="B15" s="40">
        <v>25</v>
      </c>
      <c r="C15" s="40" t="s">
        <v>347</v>
      </c>
      <c r="D15" s="40"/>
      <c r="E15" s="40">
        <v>3952</v>
      </c>
      <c r="F15" s="40"/>
      <c r="G15" s="40"/>
      <c r="H15" s="60">
        <v>1768</v>
      </c>
      <c r="I15" s="54">
        <v>0</v>
      </c>
      <c r="J15" s="61">
        <v>1768</v>
      </c>
    </row>
    <row r="16" spans="1:10" x14ac:dyDescent="0.25">
      <c r="A16" s="40">
        <v>11</v>
      </c>
      <c r="B16" s="40">
        <v>26</v>
      </c>
      <c r="C16" s="40" t="s">
        <v>287</v>
      </c>
      <c r="D16" s="40"/>
      <c r="E16" s="40">
        <v>3655</v>
      </c>
      <c r="F16" s="40" t="s">
        <v>0</v>
      </c>
      <c r="G16" s="40"/>
      <c r="H16" s="60">
        <v>1450</v>
      </c>
      <c r="I16" s="54">
        <v>0</v>
      </c>
      <c r="J16" s="61">
        <v>1450</v>
      </c>
    </row>
    <row r="17" spans="1:13" x14ac:dyDescent="0.25">
      <c r="A17" s="40"/>
      <c r="B17" s="40">
        <v>27</v>
      </c>
      <c r="C17" s="40" t="s">
        <v>298</v>
      </c>
      <c r="D17" s="40"/>
      <c r="E17" s="40">
        <v>3644</v>
      </c>
      <c r="F17" s="40"/>
      <c r="G17" s="40"/>
      <c r="H17" s="60">
        <v>890</v>
      </c>
      <c r="I17" s="54">
        <v>0</v>
      </c>
      <c r="J17" s="61">
        <f>SUM(H17:I17)</f>
        <v>890</v>
      </c>
      <c r="K17" t="s">
        <v>380</v>
      </c>
      <c r="M17" t="s">
        <v>233</v>
      </c>
    </row>
    <row r="18" spans="1:13" x14ac:dyDescent="0.25">
      <c r="A18" s="40">
        <v>20</v>
      </c>
      <c r="B18" s="40">
        <v>15</v>
      </c>
      <c r="C18" s="40" t="s">
        <v>392</v>
      </c>
      <c r="D18" s="40"/>
      <c r="E18" s="40">
        <v>3672</v>
      </c>
      <c r="F18" s="40"/>
      <c r="G18" s="40"/>
      <c r="H18" s="60">
        <v>0</v>
      </c>
      <c r="I18" s="54"/>
      <c r="J18" s="61">
        <v>0</v>
      </c>
    </row>
    <row r="19" spans="1:13" x14ac:dyDescent="0.25">
      <c r="A19" s="40"/>
      <c r="B19" s="40">
        <v>17</v>
      </c>
      <c r="C19" s="40" t="s">
        <v>232</v>
      </c>
      <c r="D19" s="40"/>
      <c r="E19" s="40">
        <v>3835</v>
      </c>
      <c r="F19" s="40" t="s">
        <v>0</v>
      </c>
      <c r="G19" s="40"/>
      <c r="H19" s="60">
        <v>0</v>
      </c>
      <c r="I19" s="54"/>
      <c r="J19" s="61">
        <v>0</v>
      </c>
    </row>
    <row r="20" spans="1:13" x14ac:dyDescent="0.25">
      <c r="A20" s="40"/>
      <c r="B20" s="40">
        <v>12</v>
      </c>
      <c r="C20" s="40" t="s">
        <v>314</v>
      </c>
      <c r="D20" s="40"/>
      <c r="E20" s="40">
        <v>3751</v>
      </c>
      <c r="F20" s="40" t="s">
        <v>0</v>
      </c>
      <c r="G20" s="40"/>
      <c r="H20" s="60">
        <v>0</v>
      </c>
      <c r="I20" s="54">
        <v>0</v>
      </c>
      <c r="J20" s="61">
        <f>SUM(H20:I20)</f>
        <v>0</v>
      </c>
    </row>
    <row r="21" spans="1:13" x14ac:dyDescent="0.25">
      <c r="A21" s="40"/>
      <c r="B21" s="40">
        <v>28</v>
      </c>
      <c r="C21" s="40" t="s">
        <v>288</v>
      </c>
      <c r="D21" s="40"/>
      <c r="E21" s="40">
        <v>3698</v>
      </c>
      <c r="F21" s="40" t="s">
        <v>0</v>
      </c>
      <c r="G21" s="40"/>
      <c r="H21" s="60">
        <v>0</v>
      </c>
      <c r="I21" s="54">
        <v>0</v>
      </c>
      <c r="J21" s="61">
        <v>0</v>
      </c>
    </row>
    <row r="22" spans="1:13" x14ac:dyDescent="0.25">
      <c r="A22" s="40"/>
      <c r="B22" s="40">
        <v>29</v>
      </c>
      <c r="C22" s="40" t="s">
        <v>251</v>
      </c>
      <c r="D22" s="40"/>
      <c r="E22" s="40">
        <v>3592</v>
      </c>
      <c r="F22" s="40" t="s">
        <v>0</v>
      </c>
      <c r="G22" s="40"/>
      <c r="H22" s="60">
        <v>0</v>
      </c>
      <c r="I22" s="54">
        <v>0</v>
      </c>
      <c r="J22" s="61">
        <v>0</v>
      </c>
    </row>
    <row r="23" spans="1:13" x14ac:dyDescent="0.25">
      <c r="A23" s="40"/>
      <c r="B23" s="40">
        <v>16</v>
      </c>
      <c r="C23" s="40" t="s">
        <v>387</v>
      </c>
      <c r="D23" s="40"/>
      <c r="E23" s="40">
        <v>3960</v>
      </c>
      <c r="F23" s="40" t="s">
        <v>0</v>
      </c>
      <c r="G23" s="40"/>
      <c r="H23" s="60">
        <v>0</v>
      </c>
      <c r="I23" s="54">
        <v>0</v>
      </c>
      <c r="J23" s="61">
        <v>0</v>
      </c>
    </row>
    <row r="24" spans="1:13" x14ac:dyDescent="0.25">
      <c r="A24" s="40"/>
      <c r="B24" s="40">
        <v>20</v>
      </c>
      <c r="C24" s="40" t="s">
        <v>408</v>
      </c>
      <c r="D24" s="40"/>
      <c r="E24" s="40">
        <v>4070</v>
      </c>
      <c r="F24" s="40"/>
      <c r="G24" s="40"/>
      <c r="H24" s="60">
        <v>0</v>
      </c>
      <c r="I24" s="54"/>
      <c r="J24" s="61">
        <v>0</v>
      </c>
    </row>
    <row r="25" spans="1:13" x14ac:dyDescent="0.25">
      <c r="A25" s="40"/>
      <c r="B25" s="40">
        <v>24</v>
      </c>
      <c r="C25" s="40" t="s">
        <v>394</v>
      </c>
      <c r="D25" s="40"/>
      <c r="E25" s="40">
        <v>3960</v>
      </c>
      <c r="F25" s="40" t="s">
        <v>0</v>
      </c>
      <c r="G25" s="40"/>
      <c r="H25" s="60">
        <v>0</v>
      </c>
      <c r="I25" s="54"/>
      <c r="J25" s="61">
        <v>0</v>
      </c>
    </row>
    <row r="26" spans="1:13" x14ac:dyDescent="0.25">
      <c r="A26" s="40"/>
      <c r="B26" s="40">
        <v>18</v>
      </c>
      <c r="C26" s="40" t="s">
        <v>404</v>
      </c>
      <c r="D26" s="40"/>
      <c r="E26" s="40">
        <v>4033</v>
      </c>
      <c r="F26" s="40" t="s">
        <v>0</v>
      </c>
      <c r="G26" s="40"/>
      <c r="H26" s="60">
        <v>0</v>
      </c>
      <c r="I26" s="54"/>
      <c r="J26" s="61">
        <v>0</v>
      </c>
    </row>
    <row r="27" spans="1:13" x14ac:dyDescent="0.25">
      <c r="A27" s="40"/>
      <c r="B27" s="40">
        <v>30</v>
      </c>
      <c r="C27" s="40" t="s">
        <v>325</v>
      </c>
      <c r="D27" s="40"/>
      <c r="E27" s="40">
        <v>3567</v>
      </c>
      <c r="F27" s="40" t="s">
        <v>0</v>
      </c>
      <c r="G27" s="40"/>
      <c r="H27" s="60">
        <v>0</v>
      </c>
      <c r="I27" s="54" t="s">
        <v>233</v>
      </c>
      <c r="J27" s="61">
        <v>0</v>
      </c>
    </row>
    <row r="28" spans="1:13" x14ac:dyDescent="0.25">
      <c r="A28" s="40"/>
      <c r="B28" s="40">
        <v>31</v>
      </c>
      <c r="C28" s="40" t="s">
        <v>329</v>
      </c>
      <c r="D28" s="40"/>
      <c r="E28" s="40">
        <v>3878</v>
      </c>
      <c r="F28" s="40" t="s">
        <v>0</v>
      </c>
      <c r="G28" s="40"/>
      <c r="H28" s="60">
        <v>0</v>
      </c>
      <c r="I28" s="54">
        <v>0</v>
      </c>
      <c r="J28" s="61">
        <v>0</v>
      </c>
    </row>
    <row r="29" spans="1:13" x14ac:dyDescent="0.25">
      <c r="A29" s="40"/>
      <c r="B29" s="40">
        <v>32</v>
      </c>
      <c r="C29" s="40" t="s">
        <v>296</v>
      </c>
      <c r="D29" s="40"/>
      <c r="E29" s="40">
        <v>3637</v>
      </c>
      <c r="F29" s="40" t="s">
        <v>0</v>
      </c>
      <c r="G29" s="40"/>
      <c r="H29" s="60">
        <v>0</v>
      </c>
      <c r="I29" s="54">
        <v>0</v>
      </c>
      <c r="J29" s="61">
        <v>0</v>
      </c>
    </row>
    <row r="30" spans="1:13" x14ac:dyDescent="0.25">
      <c r="A30" s="40">
        <v>26</v>
      </c>
      <c r="B30" s="40">
        <v>33</v>
      </c>
      <c r="C30" s="40" t="s">
        <v>323</v>
      </c>
      <c r="D30" s="40"/>
      <c r="E30" s="40">
        <v>3874</v>
      </c>
      <c r="F30" s="40"/>
      <c r="G30" s="40"/>
      <c r="H30" s="60">
        <v>0</v>
      </c>
      <c r="I30" s="54">
        <v>0</v>
      </c>
      <c r="J30" s="61">
        <v>0</v>
      </c>
    </row>
    <row r="31" spans="1:13" x14ac:dyDescent="0.25">
      <c r="A31" s="40">
        <v>28</v>
      </c>
      <c r="B31" s="40">
        <v>34</v>
      </c>
      <c r="C31" s="40" t="s">
        <v>285</v>
      </c>
      <c r="D31" s="40"/>
      <c r="E31" s="40">
        <v>3776</v>
      </c>
      <c r="F31" s="40" t="s">
        <v>0</v>
      </c>
      <c r="G31" s="40"/>
      <c r="H31" s="60">
        <v>0</v>
      </c>
      <c r="I31" s="54">
        <v>0</v>
      </c>
      <c r="J31" s="61">
        <v>0</v>
      </c>
    </row>
    <row r="32" spans="1:13" x14ac:dyDescent="0.25">
      <c r="A32" s="40"/>
      <c r="B32" s="40">
        <v>35</v>
      </c>
      <c r="C32" s="40" t="s">
        <v>371</v>
      </c>
      <c r="D32" s="40"/>
      <c r="E32" s="40">
        <v>3895</v>
      </c>
      <c r="F32" s="40" t="s">
        <v>0</v>
      </c>
      <c r="G32" s="40"/>
      <c r="H32" s="60">
        <v>0</v>
      </c>
      <c r="I32" s="54">
        <v>0</v>
      </c>
      <c r="J32" s="61">
        <v>0</v>
      </c>
    </row>
    <row r="33" spans="1:18" x14ac:dyDescent="0.25">
      <c r="A33" s="40"/>
      <c r="B33" s="40">
        <v>36</v>
      </c>
      <c r="C33" s="40" t="s">
        <v>295</v>
      </c>
      <c r="D33" s="40"/>
      <c r="E33" s="40">
        <v>3692</v>
      </c>
      <c r="F33" s="40" t="s">
        <v>0</v>
      </c>
      <c r="G33" s="40"/>
      <c r="H33" s="60">
        <v>0</v>
      </c>
      <c r="I33" s="54">
        <v>0</v>
      </c>
      <c r="J33" s="61">
        <v>0</v>
      </c>
    </row>
    <row r="34" spans="1:18" x14ac:dyDescent="0.25">
      <c r="A34" s="40">
        <v>34</v>
      </c>
      <c r="B34" s="40">
        <v>37</v>
      </c>
      <c r="C34" s="40" t="s">
        <v>139</v>
      </c>
      <c r="D34" s="40"/>
      <c r="E34" s="40">
        <v>3706</v>
      </c>
      <c r="F34" s="40" t="s">
        <v>0</v>
      </c>
      <c r="G34" s="40"/>
      <c r="H34" s="60">
        <v>0</v>
      </c>
      <c r="I34" s="54">
        <v>0</v>
      </c>
      <c r="J34" s="61">
        <v>0</v>
      </c>
    </row>
    <row r="35" spans="1:18" x14ac:dyDescent="0.25">
      <c r="A35" s="40"/>
      <c r="B35" s="40">
        <v>38</v>
      </c>
      <c r="C35" s="40" t="s">
        <v>138</v>
      </c>
      <c r="D35" s="40"/>
      <c r="E35" s="40">
        <v>3703</v>
      </c>
      <c r="F35" s="40" t="s">
        <v>0</v>
      </c>
      <c r="G35" s="40"/>
      <c r="H35" s="54">
        <v>0</v>
      </c>
      <c r="I35" s="54">
        <v>0</v>
      </c>
      <c r="J35" s="63">
        <v>0</v>
      </c>
    </row>
    <row r="36" spans="1:18" x14ac:dyDescent="0.25">
      <c r="A36" s="40"/>
      <c r="B36" s="40">
        <v>39</v>
      </c>
      <c r="C36" s="40" t="s">
        <v>366</v>
      </c>
      <c r="D36" s="40"/>
      <c r="E36" s="40">
        <v>3969</v>
      </c>
      <c r="F36" s="40"/>
      <c r="G36" s="40"/>
      <c r="H36" s="60">
        <v>0</v>
      </c>
      <c r="I36" s="54">
        <v>0</v>
      </c>
      <c r="J36" s="61">
        <v>0</v>
      </c>
    </row>
    <row r="37" spans="1:18" x14ac:dyDescent="0.25">
      <c r="A37" s="40">
        <v>27</v>
      </c>
      <c r="B37" s="40">
        <v>40</v>
      </c>
      <c r="C37" s="40" t="s">
        <v>126</v>
      </c>
      <c r="D37" s="40"/>
      <c r="E37" s="40">
        <v>3669</v>
      </c>
      <c r="F37" s="40"/>
      <c r="G37" s="40"/>
      <c r="H37" s="60">
        <v>0</v>
      </c>
      <c r="I37" s="54">
        <v>0</v>
      </c>
      <c r="J37" s="61">
        <v>0</v>
      </c>
    </row>
    <row r="38" spans="1:18" ht="15.75" thickBot="1" x14ac:dyDescent="0.3">
      <c r="A38" s="40">
        <v>31</v>
      </c>
      <c r="B38" s="40">
        <v>41</v>
      </c>
      <c r="C38" s="40" t="s">
        <v>293</v>
      </c>
      <c r="D38" s="40"/>
      <c r="E38" s="40">
        <v>3681</v>
      </c>
      <c r="F38" s="40"/>
      <c r="G38" s="40"/>
      <c r="H38" s="60">
        <v>0</v>
      </c>
      <c r="I38" s="54">
        <v>0</v>
      </c>
      <c r="J38" s="64">
        <v>0</v>
      </c>
    </row>
    <row r="39" spans="1:18" ht="15.75" thickBot="1" x14ac:dyDescent="0.3">
      <c r="A39" s="40"/>
      <c r="B39" s="40"/>
      <c r="C39" s="40"/>
      <c r="D39" s="40"/>
      <c r="E39" s="40"/>
      <c r="F39" s="40"/>
      <c r="G39" s="40"/>
      <c r="H39" s="41">
        <f>SUM(H3:H38)</f>
        <v>106576</v>
      </c>
      <c r="I39" s="54">
        <f>SUM(I3:I38)</f>
        <v>16188</v>
      </c>
      <c r="J39" s="62">
        <f>SUM(J3:J38)</f>
        <v>122764</v>
      </c>
    </row>
    <row r="40" spans="1:18" x14ac:dyDescent="0.25">
      <c r="R40" t="s">
        <v>2</v>
      </c>
    </row>
  </sheetData>
  <sortState ref="B3:J38">
    <sortCondition descending="1" ref="J3:J38"/>
  </sortState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P38"/>
  <sheetViews>
    <sheetView workbookViewId="0">
      <selection activeCell="M21" sqref="M21"/>
    </sheetView>
  </sheetViews>
  <sheetFormatPr defaultRowHeight="15" x14ac:dyDescent="0.25"/>
  <cols>
    <col min="1" max="1" width="3.7109375" customWidth="1"/>
    <col min="2" max="2" width="0.140625" hidden="1" customWidth="1"/>
    <col min="5" max="5" width="9.5703125" customWidth="1"/>
    <col min="6" max="6" width="4.85546875" customWidth="1"/>
    <col min="7" max="7" width="9.140625" hidden="1" customWidth="1"/>
  </cols>
  <sheetData>
    <row r="1" spans="1:15" s="55" customFormat="1" ht="14.25" x14ac:dyDescent="0.2">
      <c r="A1" s="59" t="s">
        <v>548</v>
      </c>
      <c r="B1" s="59"/>
      <c r="C1" s="59"/>
      <c r="D1" s="59"/>
      <c r="E1" s="59"/>
      <c r="F1" s="59"/>
      <c r="G1" s="59"/>
      <c r="H1" s="59"/>
      <c r="I1" s="59"/>
      <c r="J1" s="59"/>
    </row>
    <row r="2" spans="1:15" x14ac:dyDescent="0.25">
      <c r="A2" s="40"/>
      <c r="B2" s="40"/>
      <c r="C2" s="40" t="s">
        <v>116</v>
      </c>
      <c r="D2" s="40"/>
      <c r="E2" s="40" t="s">
        <v>117</v>
      </c>
      <c r="F2" s="40"/>
      <c r="G2" s="40"/>
      <c r="H2" s="40" t="s">
        <v>114</v>
      </c>
      <c r="I2" s="40" t="s">
        <v>4</v>
      </c>
      <c r="J2" s="40" t="s">
        <v>113</v>
      </c>
    </row>
    <row r="3" spans="1:15" x14ac:dyDescent="0.25">
      <c r="A3" s="40">
        <v>1</v>
      </c>
      <c r="B3" s="40"/>
      <c r="C3" s="40" t="s">
        <v>300</v>
      </c>
      <c r="D3" s="40"/>
      <c r="E3" s="40">
        <v>3654</v>
      </c>
      <c r="F3" s="40" t="s">
        <v>0</v>
      </c>
      <c r="G3" s="40"/>
      <c r="H3" s="41">
        <v>25000</v>
      </c>
      <c r="I3" s="40">
        <v>31808</v>
      </c>
      <c r="J3" s="43">
        <f>SUM(H3:I3)</f>
        <v>56808</v>
      </c>
    </row>
    <row r="4" spans="1:15" x14ac:dyDescent="0.25">
      <c r="A4" s="40">
        <v>2</v>
      </c>
      <c r="B4" s="40"/>
      <c r="C4" s="40" t="s">
        <v>388</v>
      </c>
      <c r="D4" s="40"/>
      <c r="E4" s="40">
        <v>3597</v>
      </c>
      <c r="F4" s="40" t="s">
        <v>0</v>
      </c>
      <c r="G4" s="40"/>
      <c r="H4" s="41">
        <v>25000</v>
      </c>
      <c r="I4" s="40">
        <v>13884</v>
      </c>
      <c r="J4" s="43">
        <f>SUM(H4:I4)</f>
        <v>38884</v>
      </c>
    </row>
    <row r="5" spans="1:15" x14ac:dyDescent="0.25">
      <c r="A5" s="40">
        <v>3</v>
      </c>
      <c r="B5" s="40"/>
      <c r="C5" s="40" t="s">
        <v>385</v>
      </c>
      <c r="D5" s="40"/>
      <c r="E5" s="40">
        <v>3800</v>
      </c>
      <c r="F5" s="40" t="s">
        <v>0</v>
      </c>
      <c r="G5" s="40"/>
      <c r="H5" s="41">
        <v>25000</v>
      </c>
      <c r="I5" s="40">
        <v>11000</v>
      </c>
      <c r="J5" s="43">
        <f>SUM(H5:I5)</f>
        <v>36000</v>
      </c>
    </row>
    <row r="6" spans="1:15" x14ac:dyDescent="0.25">
      <c r="A6" s="40">
        <v>4</v>
      </c>
      <c r="B6" s="40"/>
      <c r="C6" s="40" t="s">
        <v>172</v>
      </c>
      <c r="D6" s="40"/>
      <c r="E6" s="40">
        <v>3791</v>
      </c>
      <c r="F6" s="40" t="s">
        <v>0</v>
      </c>
      <c r="G6" s="40"/>
      <c r="H6" s="41">
        <v>25000</v>
      </c>
      <c r="I6" s="40">
        <v>9500</v>
      </c>
      <c r="J6" s="43">
        <f>SUM(H6:I6)</f>
        <v>34500</v>
      </c>
    </row>
    <row r="7" spans="1:15" x14ac:dyDescent="0.25">
      <c r="A7" s="40">
        <v>5</v>
      </c>
      <c r="B7" s="40"/>
      <c r="C7" s="40" t="s">
        <v>382</v>
      </c>
      <c r="D7" s="40"/>
      <c r="E7" s="40">
        <v>3679</v>
      </c>
      <c r="F7" s="40" t="s">
        <v>0</v>
      </c>
      <c r="G7" s="40"/>
      <c r="H7" s="41">
        <v>25000</v>
      </c>
      <c r="I7" s="40">
        <v>3180</v>
      </c>
      <c r="J7" s="43">
        <v>28180</v>
      </c>
      <c r="M7" t="s">
        <v>2</v>
      </c>
    </row>
    <row r="8" spans="1:15" x14ac:dyDescent="0.25">
      <c r="A8" s="40">
        <v>7</v>
      </c>
      <c r="B8" s="40"/>
      <c r="C8" s="40" t="s">
        <v>399</v>
      </c>
      <c r="D8" s="40"/>
      <c r="E8" s="40"/>
      <c r="F8" s="40" t="s">
        <v>0</v>
      </c>
      <c r="G8" s="40"/>
      <c r="H8" s="41">
        <v>21000</v>
      </c>
      <c r="I8" s="40"/>
      <c r="J8" s="43">
        <v>21000</v>
      </c>
      <c r="K8" t="s">
        <v>233</v>
      </c>
    </row>
    <row r="9" spans="1:15" x14ac:dyDescent="0.25">
      <c r="A9" s="40">
        <v>12</v>
      </c>
      <c r="B9" s="40"/>
      <c r="C9" s="40" t="s">
        <v>311</v>
      </c>
      <c r="D9" s="40"/>
      <c r="E9" s="40"/>
      <c r="F9" s="40"/>
      <c r="G9" s="40"/>
      <c r="H9" s="41">
        <v>9000</v>
      </c>
      <c r="I9" s="40">
        <v>4734</v>
      </c>
      <c r="J9" s="43">
        <f>SUM(H9:I9)</f>
        <v>13734</v>
      </c>
    </row>
    <row r="10" spans="1:15" x14ac:dyDescent="0.25">
      <c r="A10" s="40">
        <v>9</v>
      </c>
      <c r="B10" s="40"/>
      <c r="C10" s="40" t="s">
        <v>309</v>
      </c>
      <c r="D10" s="40"/>
      <c r="E10" s="40">
        <v>3696</v>
      </c>
      <c r="F10" s="40"/>
      <c r="G10" s="40"/>
      <c r="H10" s="41">
        <v>9000</v>
      </c>
      <c r="I10" s="40">
        <v>2534</v>
      </c>
      <c r="J10" s="43">
        <f>SUM(H10:I10)</f>
        <v>11534</v>
      </c>
    </row>
    <row r="11" spans="1:15" x14ac:dyDescent="0.25">
      <c r="A11" s="40">
        <v>14</v>
      </c>
      <c r="B11" s="40"/>
      <c r="C11" s="40" t="s">
        <v>304</v>
      </c>
      <c r="D11" s="40"/>
      <c r="E11" s="40">
        <v>3652</v>
      </c>
      <c r="F11" s="40"/>
      <c r="G11" s="40"/>
      <c r="H11" s="41">
        <v>9000</v>
      </c>
      <c r="I11" s="40">
        <v>2484</v>
      </c>
      <c r="J11" s="43">
        <f>SUM(H11:I11)</f>
        <v>11484</v>
      </c>
    </row>
    <row r="12" spans="1:15" x14ac:dyDescent="0.25">
      <c r="A12" s="40">
        <v>15</v>
      </c>
      <c r="B12" s="40"/>
      <c r="C12" s="40" t="s">
        <v>381</v>
      </c>
      <c r="D12" s="40"/>
      <c r="E12" s="40">
        <v>3551</v>
      </c>
      <c r="F12" s="40" t="s">
        <v>0</v>
      </c>
      <c r="G12" s="40"/>
      <c r="H12" s="41">
        <v>11024</v>
      </c>
      <c r="I12" s="40">
        <v>0</v>
      </c>
      <c r="J12" s="43">
        <f>SUM(H12:I12)</f>
        <v>11024</v>
      </c>
    </row>
    <row r="13" spans="1:15" x14ac:dyDescent="0.25">
      <c r="A13" s="40">
        <v>16</v>
      </c>
      <c r="B13" s="40"/>
      <c r="C13" s="40" t="s">
        <v>167</v>
      </c>
      <c r="D13" s="40"/>
      <c r="E13" s="40">
        <v>3749</v>
      </c>
      <c r="F13" s="40"/>
      <c r="G13" s="40"/>
      <c r="H13" s="41">
        <v>3912</v>
      </c>
      <c r="I13" s="40">
        <v>0</v>
      </c>
      <c r="J13" s="43">
        <v>3912</v>
      </c>
    </row>
    <row r="14" spans="1:15" x14ac:dyDescent="0.25">
      <c r="A14" s="40">
        <v>21</v>
      </c>
      <c r="B14" s="40"/>
      <c r="C14" s="40" t="s">
        <v>303</v>
      </c>
      <c r="D14" s="40"/>
      <c r="E14" s="40">
        <v>3709</v>
      </c>
      <c r="F14" s="40" t="s">
        <v>0</v>
      </c>
      <c r="G14" s="40"/>
      <c r="H14" s="41">
        <v>3100</v>
      </c>
      <c r="I14" s="40">
        <v>0</v>
      </c>
      <c r="J14" s="43">
        <v>3100</v>
      </c>
      <c r="N14" t="s">
        <v>233</v>
      </c>
      <c r="O14" t="s">
        <v>383</v>
      </c>
    </row>
    <row r="15" spans="1:15" x14ac:dyDescent="0.25">
      <c r="A15" s="40">
        <v>11</v>
      </c>
      <c r="B15" s="40"/>
      <c r="C15" s="40" t="s">
        <v>306</v>
      </c>
      <c r="D15" s="40"/>
      <c r="E15" s="40">
        <v>3732</v>
      </c>
      <c r="F15" s="40"/>
      <c r="G15" s="40"/>
      <c r="H15" s="41">
        <v>3000</v>
      </c>
      <c r="I15" s="40">
        <v>0</v>
      </c>
      <c r="J15" s="43">
        <v>3000</v>
      </c>
    </row>
    <row r="16" spans="1:15" x14ac:dyDescent="0.25">
      <c r="A16" s="40">
        <v>22</v>
      </c>
      <c r="B16" s="40"/>
      <c r="C16" s="40" t="s">
        <v>335</v>
      </c>
      <c r="D16" s="40"/>
      <c r="E16" s="40">
        <v>3965</v>
      </c>
      <c r="F16" s="40" t="s">
        <v>0</v>
      </c>
      <c r="G16" s="40"/>
      <c r="H16" s="41">
        <v>2830</v>
      </c>
      <c r="I16" s="40">
        <v>0</v>
      </c>
      <c r="J16" s="43">
        <v>2830</v>
      </c>
    </row>
    <row r="17" spans="1:16" x14ac:dyDescent="0.25">
      <c r="A17" s="40">
        <v>23</v>
      </c>
      <c r="B17" s="40"/>
      <c r="C17" s="40" t="s">
        <v>354</v>
      </c>
      <c r="D17" s="40"/>
      <c r="E17" s="40">
        <v>3662</v>
      </c>
      <c r="F17" s="40" t="s">
        <v>0</v>
      </c>
      <c r="G17" s="40"/>
      <c r="H17" s="41">
        <v>2214</v>
      </c>
      <c r="I17" s="40">
        <v>0</v>
      </c>
      <c r="J17" s="43">
        <v>2214</v>
      </c>
    </row>
    <row r="18" spans="1:16" x14ac:dyDescent="0.25">
      <c r="A18" s="40">
        <v>27</v>
      </c>
      <c r="B18" s="40"/>
      <c r="C18" s="40" t="s">
        <v>308</v>
      </c>
      <c r="D18" s="40"/>
      <c r="E18" s="40">
        <v>3657</v>
      </c>
      <c r="F18" s="40"/>
      <c r="G18" s="40"/>
      <c r="H18" s="41">
        <v>1324</v>
      </c>
      <c r="I18" s="40">
        <v>0</v>
      </c>
      <c r="J18" s="43">
        <f>SUM(H18:I18)</f>
        <v>1324</v>
      </c>
    </row>
    <row r="19" spans="1:16" x14ac:dyDescent="0.25">
      <c r="A19" s="40">
        <v>28</v>
      </c>
      <c r="B19" s="40"/>
      <c r="C19" s="40" t="s">
        <v>360</v>
      </c>
      <c r="D19" s="40"/>
      <c r="E19" s="40">
        <v>3622</v>
      </c>
      <c r="F19" s="40"/>
      <c r="G19" s="40"/>
      <c r="H19" s="41">
        <v>1234</v>
      </c>
      <c r="I19" s="40">
        <v>0</v>
      </c>
      <c r="J19" s="43">
        <f>SUM(H19:I19)</f>
        <v>1234</v>
      </c>
    </row>
    <row r="20" spans="1:16" x14ac:dyDescent="0.25">
      <c r="A20" s="40">
        <v>29</v>
      </c>
      <c r="B20" s="40"/>
      <c r="C20" s="40" t="s">
        <v>302</v>
      </c>
      <c r="D20" s="40"/>
      <c r="E20" s="40">
        <v>3735</v>
      </c>
      <c r="F20" s="40" t="s">
        <v>0</v>
      </c>
      <c r="G20" s="40"/>
      <c r="H20" s="41">
        <v>0</v>
      </c>
      <c r="I20" s="40">
        <v>0</v>
      </c>
      <c r="J20" s="43">
        <v>0</v>
      </c>
      <c r="K20" t="s">
        <v>2</v>
      </c>
    </row>
    <row r="21" spans="1:16" x14ac:dyDescent="0.25">
      <c r="A21" s="40">
        <v>19</v>
      </c>
      <c r="B21" s="40"/>
      <c r="C21" s="40" t="s">
        <v>305</v>
      </c>
      <c r="D21" s="40"/>
      <c r="E21" s="40">
        <v>3645</v>
      </c>
      <c r="F21" s="40"/>
      <c r="G21" s="40"/>
      <c r="H21" s="41">
        <v>490</v>
      </c>
      <c r="I21" s="40">
        <v>0</v>
      </c>
      <c r="J21" s="43">
        <v>490</v>
      </c>
    </row>
    <row r="22" spans="1:16" x14ac:dyDescent="0.25">
      <c r="A22" s="40">
        <v>30</v>
      </c>
      <c r="B22" s="40"/>
      <c r="C22" s="40" t="s">
        <v>379</v>
      </c>
      <c r="D22" s="40"/>
      <c r="E22" s="40">
        <v>3984</v>
      </c>
      <c r="F22" s="40"/>
      <c r="G22" s="40"/>
      <c r="H22" s="41">
        <v>75</v>
      </c>
      <c r="I22" s="40">
        <v>0</v>
      </c>
      <c r="J22" s="43">
        <v>75</v>
      </c>
    </row>
    <row r="23" spans="1:16" x14ac:dyDescent="0.25">
      <c r="A23" s="40">
        <v>25</v>
      </c>
      <c r="B23" s="40"/>
      <c r="C23" s="40" t="s">
        <v>411</v>
      </c>
      <c r="D23" s="40"/>
      <c r="E23" s="40">
        <v>3658</v>
      </c>
      <c r="F23" s="40" t="s">
        <v>0</v>
      </c>
      <c r="G23" s="40"/>
      <c r="H23" s="41">
        <v>0</v>
      </c>
      <c r="I23" s="40">
        <v>0</v>
      </c>
      <c r="J23" s="43">
        <v>0</v>
      </c>
      <c r="P23" t="s">
        <v>161</v>
      </c>
    </row>
    <row r="24" spans="1:16" x14ac:dyDescent="0.25">
      <c r="A24" s="40">
        <v>20</v>
      </c>
      <c r="B24" s="40"/>
      <c r="C24" s="40" t="s">
        <v>401</v>
      </c>
      <c r="D24" s="40"/>
      <c r="E24" s="40">
        <v>4031</v>
      </c>
      <c r="F24" s="40" t="s">
        <v>0</v>
      </c>
      <c r="G24" s="40"/>
      <c r="H24" s="41">
        <v>0</v>
      </c>
      <c r="I24" s="40"/>
      <c r="J24" s="43">
        <v>0</v>
      </c>
    </row>
    <row r="25" spans="1:16" x14ac:dyDescent="0.25">
      <c r="A25" s="40">
        <v>18</v>
      </c>
      <c r="B25" s="40"/>
      <c r="C25" s="40" t="s">
        <v>370</v>
      </c>
      <c r="D25" s="40"/>
      <c r="E25" s="40">
        <v>3632</v>
      </c>
      <c r="F25" s="40"/>
      <c r="G25" s="40"/>
      <c r="H25" s="41">
        <v>0</v>
      </c>
      <c r="I25" s="40">
        <v>0</v>
      </c>
      <c r="J25" s="43">
        <f>SUM(H25:I25)</f>
        <v>0</v>
      </c>
    </row>
    <row r="26" spans="1:16" x14ac:dyDescent="0.25">
      <c r="A26" s="40">
        <v>17</v>
      </c>
      <c r="B26" s="40"/>
      <c r="C26" s="40" t="s">
        <v>402</v>
      </c>
      <c r="D26" s="40"/>
      <c r="E26" s="40"/>
      <c r="F26" s="40" t="s">
        <v>0</v>
      </c>
      <c r="G26" s="40"/>
      <c r="H26" s="41">
        <v>0</v>
      </c>
      <c r="I26" s="40"/>
      <c r="J26" s="43">
        <v>0</v>
      </c>
    </row>
    <row r="27" spans="1:16" x14ac:dyDescent="0.25">
      <c r="A27" s="40">
        <v>10</v>
      </c>
      <c r="B27" s="40"/>
      <c r="C27" s="40" t="s">
        <v>128</v>
      </c>
      <c r="D27" s="40"/>
      <c r="E27" s="40">
        <v>3683</v>
      </c>
      <c r="F27" s="40"/>
      <c r="G27" s="40"/>
      <c r="H27" s="41">
        <v>0</v>
      </c>
      <c r="I27" s="40">
        <v>0</v>
      </c>
      <c r="J27" s="43">
        <v>0</v>
      </c>
    </row>
    <row r="28" spans="1:16" x14ac:dyDescent="0.25">
      <c r="A28" s="40">
        <v>8</v>
      </c>
      <c r="B28" s="40"/>
      <c r="C28" s="40" t="s">
        <v>299</v>
      </c>
      <c r="D28" s="40"/>
      <c r="E28" s="40">
        <v>3649</v>
      </c>
      <c r="F28" s="40" t="s">
        <v>0</v>
      </c>
      <c r="G28" s="40"/>
      <c r="H28" s="41">
        <v>0</v>
      </c>
      <c r="I28" s="40">
        <v>0</v>
      </c>
      <c r="J28" s="43">
        <f>SUM(H28:I28)</f>
        <v>0</v>
      </c>
    </row>
    <row r="29" spans="1:16" x14ac:dyDescent="0.25">
      <c r="A29" s="40">
        <v>13</v>
      </c>
      <c r="B29" s="40"/>
      <c r="C29" s="40" t="s">
        <v>301</v>
      </c>
      <c r="D29" s="40"/>
      <c r="E29" s="40">
        <v>3647</v>
      </c>
      <c r="F29" s="40" t="s">
        <v>0</v>
      </c>
      <c r="G29" s="40"/>
      <c r="H29" s="41">
        <v>0</v>
      </c>
      <c r="I29" s="40">
        <v>0</v>
      </c>
      <c r="J29" s="43">
        <v>0</v>
      </c>
    </row>
    <row r="30" spans="1:16" x14ac:dyDescent="0.25">
      <c r="A30" s="40">
        <v>32</v>
      </c>
      <c r="B30" s="40"/>
      <c r="C30" s="40" t="s">
        <v>148</v>
      </c>
      <c r="D30" s="40"/>
      <c r="E30" s="40">
        <v>3707</v>
      </c>
      <c r="F30" s="40"/>
      <c r="G30" s="40"/>
      <c r="H30" s="41">
        <v>0</v>
      </c>
      <c r="I30" s="40">
        <v>0</v>
      </c>
      <c r="J30" s="43">
        <f>SUM(H30:I30)</f>
        <v>0</v>
      </c>
    </row>
    <row r="31" spans="1:16" x14ac:dyDescent="0.25">
      <c r="A31" s="40">
        <v>24</v>
      </c>
      <c r="B31" s="40"/>
      <c r="C31" s="40" t="s">
        <v>125</v>
      </c>
      <c r="D31" s="40"/>
      <c r="E31" s="40">
        <v>3667</v>
      </c>
      <c r="F31" s="40" t="s">
        <v>0</v>
      </c>
      <c r="G31" s="40"/>
      <c r="H31" s="41">
        <v>0</v>
      </c>
      <c r="I31" s="40">
        <v>0</v>
      </c>
      <c r="J31" s="43">
        <v>0</v>
      </c>
    </row>
    <row r="32" spans="1:16" x14ac:dyDescent="0.25">
      <c r="A32" s="40">
        <v>31</v>
      </c>
      <c r="B32" s="40"/>
      <c r="C32" s="40" t="s">
        <v>307</v>
      </c>
      <c r="D32" s="40"/>
      <c r="E32" s="40">
        <v>3639</v>
      </c>
      <c r="F32" s="40" t="s">
        <v>0</v>
      </c>
      <c r="G32" s="40"/>
      <c r="H32" s="41">
        <v>0</v>
      </c>
      <c r="I32" s="40">
        <v>0</v>
      </c>
      <c r="J32" s="43">
        <v>0</v>
      </c>
    </row>
    <row r="33" spans="1:10" x14ac:dyDescent="0.25">
      <c r="A33" s="40">
        <v>6</v>
      </c>
      <c r="B33" s="40"/>
      <c r="C33" s="40" t="s">
        <v>310</v>
      </c>
      <c r="D33" s="40"/>
      <c r="E33" s="40">
        <v>3714</v>
      </c>
      <c r="F33" s="40" t="s">
        <v>0</v>
      </c>
      <c r="G33" s="40"/>
      <c r="H33" s="41">
        <v>0</v>
      </c>
      <c r="I33" s="40">
        <v>0</v>
      </c>
      <c r="J33" s="43">
        <f>SUM(H33:I33)</f>
        <v>0</v>
      </c>
    </row>
    <row r="34" spans="1:10" x14ac:dyDescent="0.25">
      <c r="A34" s="40">
        <v>33</v>
      </c>
      <c r="B34" s="40"/>
      <c r="C34" s="40" t="s">
        <v>320</v>
      </c>
      <c r="D34" s="40"/>
      <c r="E34" s="40">
        <v>3873</v>
      </c>
      <c r="F34" s="40" t="s">
        <v>0</v>
      </c>
      <c r="G34" s="40"/>
      <c r="H34" s="41">
        <v>0</v>
      </c>
      <c r="I34" s="40">
        <v>0</v>
      </c>
      <c r="J34" s="43">
        <v>0</v>
      </c>
    </row>
    <row r="35" spans="1:10" x14ac:dyDescent="0.25">
      <c r="A35" s="40">
        <v>26</v>
      </c>
      <c r="B35" s="40"/>
      <c r="C35" s="40" t="s">
        <v>398</v>
      </c>
      <c r="D35" s="40"/>
      <c r="E35" s="40">
        <v>4014</v>
      </c>
      <c r="F35" s="40" t="s">
        <v>0</v>
      </c>
      <c r="G35" s="40"/>
      <c r="H35" s="41">
        <v>0</v>
      </c>
      <c r="I35" s="40"/>
      <c r="J35" s="43">
        <v>0</v>
      </c>
    </row>
    <row r="36" spans="1:10" x14ac:dyDescent="0.25">
      <c r="A36" s="40">
        <v>34</v>
      </c>
      <c r="B36" s="40"/>
      <c r="C36" s="40" t="s">
        <v>312</v>
      </c>
      <c r="D36" s="40"/>
      <c r="E36" s="40">
        <v>3686</v>
      </c>
      <c r="F36" s="40"/>
      <c r="G36" s="40"/>
      <c r="H36" s="41">
        <v>0</v>
      </c>
      <c r="I36" s="40">
        <v>0</v>
      </c>
      <c r="J36" s="43">
        <v>0</v>
      </c>
    </row>
    <row r="37" spans="1:10" x14ac:dyDescent="0.25">
      <c r="A37" s="40">
        <v>35</v>
      </c>
      <c r="B37" s="40"/>
      <c r="C37" s="40" t="s">
        <v>313</v>
      </c>
      <c r="D37" s="40"/>
      <c r="E37" s="40"/>
      <c r="F37" s="40"/>
      <c r="G37" s="40"/>
      <c r="H37" s="41">
        <v>0</v>
      </c>
      <c r="I37" s="40">
        <v>0</v>
      </c>
      <c r="J37" s="43">
        <v>0</v>
      </c>
    </row>
    <row r="38" spans="1:10" x14ac:dyDescent="0.25">
      <c r="A38" s="40"/>
      <c r="B38" s="40"/>
      <c r="C38" s="40"/>
      <c r="D38" s="40"/>
      <c r="E38" s="40"/>
      <c r="F38" s="40"/>
      <c r="G38" s="40"/>
      <c r="H38" s="40">
        <f>SUM(H3:H37)</f>
        <v>202203</v>
      </c>
      <c r="I38" s="40">
        <f>SUM(I3:I37)</f>
        <v>79124</v>
      </c>
      <c r="J38" s="43">
        <f>SUM(J3:J37)</f>
        <v>281327</v>
      </c>
    </row>
  </sheetData>
  <sortState ref="C3:J37">
    <sortCondition descending="1" ref="J3:J37"/>
  </sortState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T53"/>
  <sheetViews>
    <sheetView workbookViewId="0">
      <selection activeCell="A3" sqref="A3:H52"/>
    </sheetView>
  </sheetViews>
  <sheetFormatPr defaultRowHeight="15" x14ac:dyDescent="0.25"/>
  <cols>
    <col min="1" max="1" width="4.42578125" customWidth="1"/>
    <col min="3" max="3" width="14.42578125" customWidth="1"/>
    <col min="5" max="5" width="4.85546875" customWidth="1"/>
  </cols>
  <sheetData>
    <row r="1" spans="1:12" s="67" customFormat="1" ht="14.25" x14ac:dyDescent="0.2">
      <c r="A1" s="67" t="s">
        <v>551</v>
      </c>
      <c r="B1" s="67" t="s">
        <v>707</v>
      </c>
      <c r="L1" s="67" t="s">
        <v>804</v>
      </c>
    </row>
    <row r="2" spans="1:12" x14ac:dyDescent="0.25">
      <c r="A2" s="81" t="s">
        <v>413</v>
      </c>
      <c r="B2" s="81" t="s">
        <v>116</v>
      </c>
      <c r="C2" s="81"/>
      <c r="D2" s="81" t="s">
        <v>491</v>
      </c>
      <c r="E2" s="81"/>
      <c r="F2" s="81" t="s">
        <v>114</v>
      </c>
      <c r="G2" s="81" t="s">
        <v>4</v>
      </c>
      <c r="H2" s="81" t="s">
        <v>113</v>
      </c>
    </row>
    <row r="3" spans="1:12" x14ac:dyDescent="0.25">
      <c r="A3" s="83">
        <v>1</v>
      </c>
      <c r="B3" s="81" t="s">
        <v>492</v>
      </c>
      <c r="C3" s="81"/>
      <c r="D3" s="81">
        <v>3759</v>
      </c>
      <c r="E3" s="81" t="s">
        <v>0</v>
      </c>
      <c r="F3" s="82">
        <v>25000</v>
      </c>
      <c r="G3" s="82">
        <v>45890</v>
      </c>
      <c r="H3" s="82">
        <f t="shared" ref="H3:H33" si="0">SUM(F3:G3)</f>
        <v>70890</v>
      </c>
    </row>
    <row r="4" spans="1:12" x14ac:dyDescent="0.25">
      <c r="A4" s="83">
        <v>9</v>
      </c>
      <c r="B4" s="81" t="s">
        <v>495</v>
      </c>
      <c r="C4" s="81"/>
      <c r="D4" s="81">
        <v>3806</v>
      </c>
      <c r="E4" s="81" t="s">
        <v>0</v>
      </c>
      <c r="F4" s="82">
        <v>25000</v>
      </c>
      <c r="G4" s="82">
        <v>28000</v>
      </c>
      <c r="H4" s="81">
        <f t="shared" si="0"/>
        <v>53000</v>
      </c>
    </row>
    <row r="5" spans="1:12" x14ac:dyDescent="0.25">
      <c r="A5" s="83">
        <v>11</v>
      </c>
      <c r="B5" s="81" t="s">
        <v>496</v>
      </c>
      <c r="C5" s="81"/>
      <c r="D5" s="81">
        <v>3710</v>
      </c>
      <c r="E5" s="81" t="s">
        <v>0</v>
      </c>
      <c r="F5" s="82">
        <v>25000</v>
      </c>
      <c r="G5" s="82">
        <v>25500</v>
      </c>
      <c r="H5" s="81">
        <f t="shared" si="0"/>
        <v>50500</v>
      </c>
    </row>
    <row r="6" spans="1:12" x14ac:dyDescent="0.25">
      <c r="A6" s="83">
        <v>12</v>
      </c>
      <c r="B6" s="81" t="s">
        <v>497</v>
      </c>
      <c r="C6" s="81"/>
      <c r="D6" s="81">
        <v>3859</v>
      </c>
      <c r="E6" s="81" t="s">
        <v>0</v>
      </c>
      <c r="F6" s="82">
        <v>25000</v>
      </c>
      <c r="G6" s="82">
        <v>19850</v>
      </c>
      <c r="H6" s="81">
        <f t="shared" si="0"/>
        <v>44850</v>
      </c>
    </row>
    <row r="7" spans="1:12" x14ac:dyDescent="0.25">
      <c r="A7" s="83">
        <v>14</v>
      </c>
      <c r="B7" s="81" t="s">
        <v>537</v>
      </c>
      <c r="C7" s="81"/>
      <c r="D7" s="81">
        <v>3847</v>
      </c>
      <c r="E7" s="81" t="s">
        <v>0</v>
      </c>
      <c r="F7" s="82">
        <v>25000</v>
      </c>
      <c r="G7" s="82">
        <v>18000</v>
      </c>
      <c r="H7" s="81">
        <f t="shared" si="0"/>
        <v>43000</v>
      </c>
    </row>
    <row r="8" spans="1:12" x14ac:dyDescent="0.25">
      <c r="A8" s="83">
        <v>17</v>
      </c>
      <c r="B8" s="81" t="s">
        <v>502</v>
      </c>
      <c r="C8" s="81"/>
      <c r="D8" s="81">
        <v>3818</v>
      </c>
      <c r="E8" s="81" t="s">
        <v>0</v>
      </c>
      <c r="F8" s="81">
        <v>25000</v>
      </c>
      <c r="G8" s="82">
        <v>16975</v>
      </c>
      <c r="H8" s="81">
        <f t="shared" si="0"/>
        <v>41975</v>
      </c>
    </row>
    <row r="9" spans="1:12" x14ac:dyDescent="0.25">
      <c r="A9" s="83">
        <v>27</v>
      </c>
      <c r="B9" s="81" t="s">
        <v>498</v>
      </c>
      <c r="C9" s="81"/>
      <c r="D9" s="81">
        <v>3748</v>
      </c>
      <c r="E9" s="81" t="s">
        <v>0</v>
      </c>
      <c r="F9" s="82">
        <v>25000</v>
      </c>
      <c r="G9" s="82">
        <v>9190</v>
      </c>
      <c r="H9" s="81">
        <f t="shared" si="0"/>
        <v>34190</v>
      </c>
    </row>
    <row r="10" spans="1:12" x14ac:dyDescent="0.25">
      <c r="A10" s="83">
        <v>25</v>
      </c>
      <c r="B10" s="81" t="s">
        <v>505</v>
      </c>
      <c r="C10" s="81"/>
      <c r="D10" s="81">
        <v>3868</v>
      </c>
      <c r="E10" s="81" t="s">
        <v>0</v>
      </c>
      <c r="F10" s="82">
        <v>25000</v>
      </c>
      <c r="G10" s="82">
        <v>7500</v>
      </c>
      <c r="H10" s="81">
        <f t="shared" si="0"/>
        <v>32500</v>
      </c>
    </row>
    <row r="11" spans="1:12" x14ac:dyDescent="0.25">
      <c r="A11" s="83">
        <v>23</v>
      </c>
      <c r="B11" s="81" t="s">
        <v>519</v>
      </c>
      <c r="C11" s="81"/>
      <c r="D11" s="81">
        <v>3762</v>
      </c>
      <c r="E11" s="81" t="s">
        <v>0</v>
      </c>
      <c r="F11" s="82">
        <v>25000</v>
      </c>
      <c r="G11" s="82">
        <v>5000</v>
      </c>
      <c r="H11" s="81">
        <f t="shared" si="0"/>
        <v>30000</v>
      </c>
    </row>
    <row r="12" spans="1:12" x14ac:dyDescent="0.25">
      <c r="A12" s="83">
        <v>31</v>
      </c>
      <c r="B12" s="81" t="s">
        <v>414</v>
      </c>
      <c r="C12" s="81"/>
      <c r="D12" s="81">
        <v>3765</v>
      </c>
      <c r="E12" s="81" t="s">
        <v>0</v>
      </c>
      <c r="F12" s="82">
        <v>25000</v>
      </c>
      <c r="G12" s="82">
        <v>4000</v>
      </c>
      <c r="H12" s="81">
        <f t="shared" si="0"/>
        <v>29000</v>
      </c>
    </row>
    <row r="13" spans="1:12" x14ac:dyDescent="0.25">
      <c r="A13" s="83">
        <v>28</v>
      </c>
      <c r="B13" s="81" t="s">
        <v>518</v>
      </c>
      <c r="C13" s="81"/>
      <c r="D13" s="81">
        <v>3927</v>
      </c>
      <c r="E13" s="81" t="s">
        <v>0</v>
      </c>
      <c r="F13" s="82">
        <v>25000</v>
      </c>
      <c r="G13" s="82">
        <v>2750</v>
      </c>
      <c r="H13" s="81">
        <f t="shared" si="0"/>
        <v>27750</v>
      </c>
    </row>
    <row r="14" spans="1:12" x14ac:dyDescent="0.25">
      <c r="A14" s="83">
        <v>30</v>
      </c>
      <c r="B14" s="81" t="s">
        <v>521</v>
      </c>
      <c r="C14" s="81"/>
      <c r="D14" s="81">
        <v>3824</v>
      </c>
      <c r="E14" s="81" t="s">
        <v>0</v>
      </c>
      <c r="F14" s="82">
        <v>25000</v>
      </c>
      <c r="G14" s="82">
        <v>2300</v>
      </c>
      <c r="H14" s="81">
        <f t="shared" si="0"/>
        <v>27300</v>
      </c>
    </row>
    <row r="15" spans="1:12" x14ac:dyDescent="0.25">
      <c r="A15" s="83">
        <v>40</v>
      </c>
      <c r="B15" s="81" t="s">
        <v>512</v>
      </c>
      <c r="C15" s="81"/>
      <c r="D15" s="81">
        <v>3820</v>
      </c>
      <c r="E15" s="81" t="s">
        <v>0</v>
      </c>
      <c r="F15" s="82">
        <v>25000</v>
      </c>
      <c r="G15" s="82">
        <v>1986</v>
      </c>
      <c r="H15" s="81">
        <f t="shared" si="0"/>
        <v>26986</v>
      </c>
    </row>
    <row r="16" spans="1:12" x14ac:dyDescent="0.25">
      <c r="A16" s="83">
        <v>34</v>
      </c>
      <c r="B16" s="81" t="s">
        <v>523</v>
      </c>
      <c r="C16" s="81"/>
      <c r="D16" s="81">
        <v>4074</v>
      </c>
      <c r="E16" s="81" t="s">
        <v>0</v>
      </c>
      <c r="F16" s="82">
        <v>25000</v>
      </c>
      <c r="G16" s="82">
        <v>0</v>
      </c>
      <c r="H16" s="81">
        <f t="shared" si="0"/>
        <v>25000</v>
      </c>
    </row>
    <row r="17" spans="1:20" x14ac:dyDescent="0.25">
      <c r="A17" s="83">
        <v>57</v>
      </c>
      <c r="B17" s="81" t="s">
        <v>504</v>
      </c>
      <c r="C17" s="81"/>
      <c r="D17" s="81">
        <v>3846</v>
      </c>
      <c r="E17" s="81" t="s">
        <v>0</v>
      </c>
      <c r="F17" s="82">
        <v>24780</v>
      </c>
      <c r="G17" s="82">
        <v>0</v>
      </c>
      <c r="H17" s="81">
        <f t="shared" si="0"/>
        <v>24780</v>
      </c>
    </row>
    <row r="18" spans="1:20" x14ac:dyDescent="0.25">
      <c r="A18" s="83">
        <v>20</v>
      </c>
      <c r="B18" s="81" t="s">
        <v>515</v>
      </c>
      <c r="C18" s="81"/>
      <c r="D18" s="81">
        <v>3770</v>
      </c>
      <c r="E18" s="81" t="s">
        <v>0</v>
      </c>
      <c r="F18" s="82">
        <v>24050</v>
      </c>
      <c r="G18" s="82">
        <v>0</v>
      </c>
      <c r="H18" s="81">
        <f t="shared" si="0"/>
        <v>24050</v>
      </c>
    </row>
    <row r="19" spans="1:20" x14ac:dyDescent="0.25">
      <c r="A19" s="83">
        <v>22</v>
      </c>
      <c r="B19" s="81" t="s">
        <v>508</v>
      </c>
      <c r="C19" s="81"/>
      <c r="D19" s="81">
        <v>3837</v>
      </c>
      <c r="E19" s="81" t="s">
        <v>0</v>
      </c>
      <c r="F19" s="82">
        <v>24036</v>
      </c>
      <c r="G19" s="82">
        <v>0</v>
      </c>
      <c r="H19" s="81">
        <f t="shared" si="0"/>
        <v>24036</v>
      </c>
    </row>
    <row r="20" spans="1:20" x14ac:dyDescent="0.25">
      <c r="A20" s="83">
        <v>39</v>
      </c>
      <c r="B20" s="81" t="s">
        <v>522</v>
      </c>
      <c r="C20" s="81"/>
      <c r="D20" s="81">
        <v>3766</v>
      </c>
      <c r="E20" s="81" t="s">
        <v>0</v>
      </c>
      <c r="F20" s="82">
        <v>24000</v>
      </c>
      <c r="G20" s="82">
        <v>0</v>
      </c>
      <c r="H20" s="81">
        <f t="shared" si="0"/>
        <v>24000</v>
      </c>
      <c r="T20" t="s">
        <v>2</v>
      </c>
    </row>
    <row r="21" spans="1:20" x14ac:dyDescent="0.25">
      <c r="A21" s="83">
        <v>44</v>
      </c>
      <c r="B21" s="81" t="s">
        <v>535</v>
      </c>
      <c r="C21" s="81"/>
      <c r="D21" s="81">
        <v>3640</v>
      </c>
      <c r="E21" s="81" t="s">
        <v>0</v>
      </c>
      <c r="F21" s="82">
        <v>23400</v>
      </c>
      <c r="G21" s="82">
        <v>0</v>
      </c>
      <c r="H21" s="81">
        <f t="shared" si="0"/>
        <v>23400</v>
      </c>
    </row>
    <row r="22" spans="1:20" x14ac:dyDescent="0.25">
      <c r="A22" s="83">
        <v>36</v>
      </c>
      <c r="B22" s="81" t="s">
        <v>553</v>
      </c>
      <c r="C22" s="81"/>
      <c r="D22" s="81">
        <v>3801</v>
      </c>
      <c r="E22" s="81" t="s">
        <v>0</v>
      </c>
      <c r="F22" s="81">
        <v>20000</v>
      </c>
      <c r="G22" s="81">
        <v>0</v>
      </c>
      <c r="H22" s="81">
        <f t="shared" si="0"/>
        <v>20000</v>
      </c>
    </row>
    <row r="23" spans="1:20" x14ac:dyDescent="0.25">
      <c r="A23" s="83">
        <v>29</v>
      </c>
      <c r="B23" s="81" t="s">
        <v>500</v>
      </c>
      <c r="C23" s="81"/>
      <c r="D23" s="81">
        <v>3850</v>
      </c>
      <c r="E23" s="81" t="s">
        <v>0</v>
      </c>
      <c r="F23" s="82">
        <v>20000</v>
      </c>
      <c r="G23" s="82">
        <v>0</v>
      </c>
      <c r="H23" s="81">
        <f t="shared" si="0"/>
        <v>20000</v>
      </c>
    </row>
    <row r="24" spans="1:20" x14ac:dyDescent="0.25">
      <c r="A24" s="83">
        <v>4</v>
      </c>
      <c r="B24" s="81" t="s">
        <v>542</v>
      </c>
      <c r="C24" s="81"/>
      <c r="D24" s="81">
        <v>4083</v>
      </c>
      <c r="E24" s="81" t="s">
        <v>0</v>
      </c>
      <c r="F24" s="82">
        <v>19500</v>
      </c>
      <c r="G24" s="82">
        <v>0</v>
      </c>
      <c r="H24" s="81">
        <f t="shared" si="0"/>
        <v>19500</v>
      </c>
    </row>
    <row r="25" spans="1:20" x14ac:dyDescent="0.25">
      <c r="A25" s="83">
        <v>45</v>
      </c>
      <c r="B25" s="81" t="s">
        <v>527</v>
      </c>
      <c r="C25" s="81"/>
      <c r="D25" s="81">
        <v>3907</v>
      </c>
      <c r="E25" s="81" t="s">
        <v>0</v>
      </c>
      <c r="F25" s="82">
        <v>18400</v>
      </c>
      <c r="G25" s="82">
        <v>0</v>
      </c>
      <c r="H25" s="81">
        <f t="shared" si="0"/>
        <v>18400</v>
      </c>
    </row>
    <row r="26" spans="1:20" x14ac:dyDescent="0.25">
      <c r="A26" s="83">
        <v>26</v>
      </c>
      <c r="B26" s="81" t="s">
        <v>526</v>
      </c>
      <c r="C26" s="81"/>
      <c r="D26" s="81">
        <v>3752</v>
      </c>
      <c r="E26" s="81" t="s">
        <v>0</v>
      </c>
      <c r="F26" s="82">
        <v>15560</v>
      </c>
      <c r="G26" s="82">
        <v>0</v>
      </c>
      <c r="H26" s="81">
        <f t="shared" si="0"/>
        <v>15560</v>
      </c>
    </row>
    <row r="27" spans="1:20" x14ac:dyDescent="0.25">
      <c r="A27" s="83">
        <v>33</v>
      </c>
      <c r="B27" s="81" t="s">
        <v>507</v>
      </c>
      <c r="C27" s="81"/>
      <c r="D27" s="81">
        <v>3660</v>
      </c>
      <c r="E27" s="81"/>
      <c r="F27" s="82">
        <v>14000</v>
      </c>
      <c r="G27" s="82">
        <v>67</v>
      </c>
      <c r="H27" s="81">
        <f t="shared" si="0"/>
        <v>14067</v>
      </c>
    </row>
    <row r="28" spans="1:20" x14ac:dyDescent="0.25">
      <c r="A28" s="83">
        <v>50</v>
      </c>
      <c r="B28" s="81" t="s">
        <v>514</v>
      </c>
      <c r="C28" s="81"/>
      <c r="D28" s="81">
        <v>3805</v>
      </c>
      <c r="E28" s="81" t="s">
        <v>0</v>
      </c>
      <c r="F28" s="82">
        <v>14040</v>
      </c>
      <c r="G28" s="82">
        <v>0</v>
      </c>
      <c r="H28" s="81">
        <f t="shared" si="0"/>
        <v>14040</v>
      </c>
    </row>
    <row r="29" spans="1:20" x14ac:dyDescent="0.25">
      <c r="A29" s="83">
        <v>38</v>
      </c>
      <c r="B29" s="81" t="s">
        <v>494</v>
      </c>
      <c r="C29" s="81"/>
      <c r="D29" s="81">
        <v>3758</v>
      </c>
      <c r="E29" s="81" t="s">
        <v>0</v>
      </c>
      <c r="F29" s="82">
        <v>11780</v>
      </c>
      <c r="G29" s="82">
        <v>0</v>
      </c>
      <c r="H29" s="81">
        <f t="shared" si="0"/>
        <v>11780</v>
      </c>
    </row>
    <row r="30" spans="1:20" x14ac:dyDescent="0.25">
      <c r="A30" s="83">
        <v>48</v>
      </c>
      <c r="B30" s="81" t="s">
        <v>529</v>
      </c>
      <c r="C30" s="81"/>
      <c r="D30" s="81">
        <v>3810</v>
      </c>
      <c r="E30" s="81" t="s">
        <v>0</v>
      </c>
      <c r="F30" s="82">
        <v>11250</v>
      </c>
      <c r="G30" s="82">
        <v>0</v>
      </c>
      <c r="H30" s="81">
        <f t="shared" si="0"/>
        <v>11250</v>
      </c>
    </row>
    <row r="31" spans="1:20" x14ac:dyDescent="0.25">
      <c r="A31" s="83">
        <v>18</v>
      </c>
      <c r="B31" s="81" t="s">
        <v>499</v>
      </c>
      <c r="C31" s="81"/>
      <c r="D31" s="81">
        <v>3753</v>
      </c>
      <c r="E31" s="81" t="s">
        <v>0</v>
      </c>
      <c r="F31" s="82">
        <v>10500</v>
      </c>
      <c r="G31" s="82">
        <v>0</v>
      </c>
      <c r="H31" s="81">
        <f t="shared" si="0"/>
        <v>10500</v>
      </c>
    </row>
    <row r="32" spans="1:20" x14ac:dyDescent="0.25">
      <c r="A32" s="83">
        <v>47</v>
      </c>
      <c r="B32" s="81" t="s">
        <v>525</v>
      </c>
      <c r="C32" s="81"/>
      <c r="D32" s="81">
        <v>4061</v>
      </c>
      <c r="E32" s="81" t="s">
        <v>0</v>
      </c>
      <c r="F32" s="82">
        <v>9600</v>
      </c>
      <c r="G32" s="82">
        <v>0</v>
      </c>
      <c r="H32" s="81">
        <f t="shared" si="0"/>
        <v>9600</v>
      </c>
    </row>
    <row r="33" spans="1:11" x14ac:dyDescent="0.25">
      <c r="A33" s="83">
        <v>41</v>
      </c>
      <c r="B33" s="81" t="s">
        <v>520</v>
      </c>
      <c r="C33" s="81"/>
      <c r="D33" s="81">
        <v>3861</v>
      </c>
      <c r="E33" s="81" t="s">
        <v>0</v>
      </c>
      <c r="F33" s="82">
        <v>9000</v>
      </c>
      <c r="G33" s="82">
        <v>0</v>
      </c>
      <c r="H33" s="81">
        <f t="shared" si="0"/>
        <v>9000</v>
      </c>
    </row>
    <row r="34" spans="1:11" x14ac:dyDescent="0.25">
      <c r="A34" s="83">
        <v>55</v>
      </c>
      <c r="B34" s="81" t="s">
        <v>513</v>
      </c>
      <c r="C34" s="81"/>
      <c r="D34" s="81">
        <v>3867</v>
      </c>
      <c r="E34" s="81" t="s">
        <v>0</v>
      </c>
      <c r="F34" s="82">
        <v>8160</v>
      </c>
      <c r="G34" s="81">
        <v>0</v>
      </c>
      <c r="H34" s="82">
        <v>8160</v>
      </c>
    </row>
    <row r="35" spans="1:11" x14ac:dyDescent="0.25">
      <c r="A35" s="83">
        <v>56</v>
      </c>
      <c r="B35" s="81" t="s">
        <v>531</v>
      </c>
      <c r="C35" s="81"/>
      <c r="D35" s="81">
        <v>3781</v>
      </c>
      <c r="E35" s="81" t="s">
        <v>0</v>
      </c>
      <c r="F35" s="82">
        <v>5680</v>
      </c>
      <c r="G35" s="82">
        <v>0</v>
      </c>
      <c r="H35" s="81">
        <f>SUM(F35:G35)</f>
        <v>5680</v>
      </c>
    </row>
    <row r="36" spans="1:11" x14ac:dyDescent="0.25">
      <c r="A36" s="83">
        <v>15</v>
      </c>
      <c r="B36" s="81" t="s">
        <v>493</v>
      </c>
      <c r="C36" s="81"/>
      <c r="D36" s="81">
        <v>3842</v>
      </c>
      <c r="E36" s="81" t="s">
        <v>0</v>
      </c>
      <c r="F36" s="82">
        <v>5400</v>
      </c>
      <c r="G36" s="82">
        <v>0</v>
      </c>
      <c r="H36" s="81">
        <f>SUM(F36:G36)</f>
        <v>5400</v>
      </c>
    </row>
    <row r="37" spans="1:11" x14ac:dyDescent="0.25">
      <c r="A37" s="83">
        <v>58</v>
      </c>
      <c r="B37" s="81" t="s">
        <v>532</v>
      </c>
      <c r="C37" s="81"/>
      <c r="D37" s="81">
        <v>3785</v>
      </c>
      <c r="E37" s="81" t="s">
        <v>0</v>
      </c>
      <c r="F37" s="82">
        <v>4800</v>
      </c>
      <c r="G37" s="81">
        <v>0</v>
      </c>
      <c r="H37" s="82">
        <v>4800</v>
      </c>
    </row>
    <row r="38" spans="1:11" x14ac:dyDescent="0.25">
      <c r="A38" s="83">
        <v>54</v>
      </c>
      <c r="B38" s="81" t="s">
        <v>530</v>
      </c>
      <c r="C38" s="81"/>
      <c r="D38" s="81">
        <v>3844</v>
      </c>
      <c r="E38" s="81" t="s">
        <v>0</v>
      </c>
      <c r="F38" s="82">
        <v>2500</v>
      </c>
      <c r="G38" s="82">
        <v>0</v>
      </c>
      <c r="H38" s="81">
        <f t="shared" ref="H38:H47" si="1">SUM(F38:G38)</f>
        <v>2500</v>
      </c>
    </row>
    <row r="39" spans="1:11" x14ac:dyDescent="0.25">
      <c r="A39" s="83">
        <v>24</v>
      </c>
      <c r="B39" s="81" t="s">
        <v>503</v>
      </c>
      <c r="C39" s="81"/>
      <c r="D39" s="81">
        <v>3655</v>
      </c>
      <c r="E39" s="81" t="s">
        <v>0</v>
      </c>
      <c r="F39" s="82">
        <v>2000</v>
      </c>
      <c r="G39" s="82">
        <v>0</v>
      </c>
      <c r="H39" s="82">
        <f t="shared" si="1"/>
        <v>2000</v>
      </c>
    </row>
    <row r="40" spans="1:11" x14ac:dyDescent="0.25">
      <c r="A40" s="83">
        <v>37</v>
      </c>
      <c r="B40" s="81" t="s">
        <v>511</v>
      </c>
      <c r="C40" s="81"/>
      <c r="D40" s="81">
        <v>3795</v>
      </c>
      <c r="E40" s="81" t="s">
        <v>0</v>
      </c>
      <c r="F40" s="82">
        <v>1980</v>
      </c>
      <c r="G40" s="82">
        <v>0</v>
      </c>
      <c r="H40" s="81">
        <f t="shared" si="1"/>
        <v>1980</v>
      </c>
    </row>
    <row r="41" spans="1:11" x14ac:dyDescent="0.25">
      <c r="A41" s="83">
        <v>32</v>
      </c>
      <c r="B41" s="81" t="s">
        <v>510</v>
      </c>
      <c r="C41" s="81"/>
      <c r="D41" s="81">
        <v>3974</v>
      </c>
      <c r="E41" s="81" t="s">
        <v>0</v>
      </c>
      <c r="F41" s="82">
        <v>1600</v>
      </c>
      <c r="G41" s="82">
        <v>0</v>
      </c>
      <c r="H41" s="82">
        <f t="shared" si="1"/>
        <v>1600</v>
      </c>
    </row>
    <row r="42" spans="1:11" x14ac:dyDescent="0.25">
      <c r="A42" s="83">
        <v>35</v>
      </c>
      <c r="B42" s="81" t="s">
        <v>517</v>
      </c>
      <c r="C42" s="81"/>
      <c r="D42" s="81">
        <v>3762</v>
      </c>
      <c r="E42" s="81" t="s">
        <v>0</v>
      </c>
      <c r="F42" s="82">
        <v>1050</v>
      </c>
      <c r="G42" s="82">
        <v>0</v>
      </c>
      <c r="H42" s="82">
        <f t="shared" si="1"/>
        <v>1050</v>
      </c>
      <c r="K42" t="s">
        <v>2</v>
      </c>
    </row>
    <row r="43" spans="1:11" x14ac:dyDescent="0.25">
      <c r="A43" s="83">
        <v>52</v>
      </c>
      <c r="B43" s="81" t="s">
        <v>528</v>
      </c>
      <c r="C43" s="81"/>
      <c r="D43" s="81">
        <v>3750</v>
      </c>
      <c r="E43" s="81" t="s">
        <v>0</v>
      </c>
      <c r="F43" s="82">
        <v>500</v>
      </c>
      <c r="G43" s="82">
        <v>0</v>
      </c>
      <c r="H43" s="81">
        <f t="shared" si="1"/>
        <v>500</v>
      </c>
    </row>
    <row r="44" spans="1:11" x14ac:dyDescent="0.25">
      <c r="A44" s="83">
        <v>16</v>
      </c>
      <c r="B44" s="81" t="s">
        <v>509</v>
      </c>
      <c r="C44" s="81"/>
      <c r="D44" s="81">
        <v>3772</v>
      </c>
      <c r="E44" s="81" t="s">
        <v>0</v>
      </c>
      <c r="F44" s="82">
        <v>0</v>
      </c>
      <c r="G44" s="82">
        <v>0</v>
      </c>
      <c r="H44" s="81">
        <f t="shared" si="1"/>
        <v>0</v>
      </c>
    </row>
    <row r="45" spans="1:11" x14ac:dyDescent="0.25">
      <c r="A45" s="83">
        <v>42</v>
      </c>
      <c r="B45" s="81" t="s">
        <v>415</v>
      </c>
      <c r="C45" s="81"/>
      <c r="D45" s="81">
        <v>3876</v>
      </c>
      <c r="E45" s="81" t="s">
        <v>0</v>
      </c>
      <c r="F45" s="82">
        <v>0</v>
      </c>
      <c r="G45" s="82">
        <v>0</v>
      </c>
      <c r="H45" s="82">
        <f t="shared" si="1"/>
        <v>0</v>
      </c>
    </row>
    <row r="46" spans="1:11" x14ac:dyDescent="0.25">
      <c r="A46" s="83"/>
      <c r="B46" s="81" t="s">
        <v>550</v>
      </c>
      <c r="C46" s="81"/>
      <c r="D46" s="81">
        <v>4084</v>
      </c>
      <c r="E46" s="81" t="s">
        <v>0</v>
      </c>
      <c r="F46" s="82">
        <v>0</v>
      </c>
      <c r="G46" s="82">
        <v>0</v>
      </c>
      <c r="H46" s="81">
        <f t="shared" si="1"/>
        <v>0</v>
      </c>
    </row>
    <row r="47" spans="1:11" x14ac:dyDescent="0.25">
      <c r="A47" s="83">
        <v>53</v>
      </c>
      <c r="B47" s="81" t="s">
        <v>506</v>
      </c>
      <c r="C47" s="81"/>
      <c r="D47" s="81">
        <v>3746</v>
      </c>
      <c r="E47" s="81" t="s">
        <v>0</v>
      </c>
      <c r="F47" s="82">
        <v>0</v>
      </c>
      <c r="G47" s="82">
        <v>0</v>
      </c>
      <c r="H47" s="82">
        <f t="shared" si="1"/>
        <v>0</v>
      </c>
    </row>
    <row r="48" spans="1:11" x14ac:dyDescent="0.25">
      <c r="A48" s="83">
        <v>46</v>
      </c>
      <c r="B48" s="81" t="s">
        <v>501</v>
      </c>
      <c r="C48" s="81"/>
      <c r="D48" s="81">
        <v>3804</v>
      </c>
      <c r="E48" s="81" t="s">
        <v>0</v>
      </c>
      <c r="F48" s="82">
        <v>0</v>
      </c>
      <c r="G48" s="82">
        <v>0</v>
      </c>
      <c r="H48" s="82">
        <v>0</v>
      </c>
    </row>
    <row r="49" spans="1:8" x14ac:dyDescent="0.25">
      <c r="A49" s="83">
        <v>49</v>
      </c>
      <c r="B49" s="81" t="s">
        <v>516</v>
      </c>
      <c r="C49" s="81"/>
      <c r="D49" s="81">
        <v>3739</v>
      </c>
      <c r="E49" s="81" t="s">
        <v>0</v>
      </c>
      <c r="F49" s="82">
        <v>0</v>
      </c>
      <c r="G49" s="82">
        <v>0</v>
      </c>
      <c r="H49" s="82">
        <v>0</v>
      </c>
    </row>
    <row r="50" spans="1:8" x14ac:dyDescent="0.25">
      <c r="A50" s="83">
        <v>59</v>
      </c>
      <c r="B50" s="81" t="s">
        <v>533</v>
      </c>
      <c r="C50" s="81"/>
      <c r="D50" s="81">
        <v>3744</v>
      </c>
      <c r="E50" s="81" t="s">
        <v>0</v>
      </c>
      <c r="F50" s="81">
        <v>0</v>
      </c>
      <c r="G50" s="81">
        <v>0</v>
      </c>
      <c r="H50" s="81">
        <f>SUM(F50:G50)</f>
        <v>0</v>
      </c>
    </row>
    <row r="51" spans="1:8" x14ac:dyDescent="0.25">
      <c r="A51" s="83">
        <v>43</v>
      </c>
      <c r="B51" s="81" t="s">
        <v>524</v>
      </c>
      <c r="C51" s="81"/>
      <c r="D51" s="81">
        <v>3754</v>
      </c>
      <c r="E51" s="81" t="s">
        <v>0</v>
      </c>
      <c r="F51" s="82">
        <v>0</v>
      </c>
      <c r="G51" s="82">
        <v>0</v>
      </c>
      <c r="H51" s="81">
        <f>SUM(F51:G51)</f>
        <v>0</v>
      </c>
    </row>
    <row r="52" spans="1:8" x14ac:dyDescent="0.25">
      <c r="A52" s="83">
        <v>60</v>
      </c>
      <c r="B52" s="81" t="s">
        <v>534</v>
      </c>
      <c r="C52" s="81"/>
      <c r="D52" s="81">
        <v>3771</v>
      </c>
      <c r="E52" s="81" t="s">
        <v>0</v>
      </c>
      <c r="F52" s="81">
        <v>0</v>
      </c>
      <c r="G52" s="81">
        <v>0</v>
      </c>
      <c r="H52" s="81">
        <f>SUM(F52:G52)</f>
        <v>0</v>
      </c>
    </row>
    <row r="53" spans="1:8" x14ac:dyDescent="0.25">
      <c r="A53" s="84"/>
      <c r="B53" s="85" t="s">
        <v>57</v>
      </c>
      <c r="C53" s="85"/>
      <c r="D53" s="85"/>
      <c r="E53" s="86"/>
      <c r="F53" s="82">
        <f>SUM(F3:F52)</f>
        <v>677566</v>
      </c>
      <c r="G53" s="82">
        <f>SUM(G3:G52)</f>
        <v>187008</v>
      </c>
      <c r="H53" s="82">
        <f>SUM(H3:H52)</f>
        <v>864574</v>
      </c>
    </row>
  </sheetData>
  <sortState ref="A3:H52">
    <sortCondition descending="1" ref="H3:H52"/>
  </sortState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U54"/>
  <sheetViews>
    <sheetView zoomScale="115" zoomScaleNormal="115" workbookViewId="0">
      <selection activeCell="I2" sqref="I2"/>
    </sheetView>
  </sheetViews>
  <sheetFormatPr defaultRowHeight="15" x14ac:dyDescent="0.25"/>
  <cols>
    <col min="1" max="1" width="3.140625" customWidth="1"/>
    <col min="3" max="3" width="13" customWidth="1"/>
    <col min="4" max="4" width="6.28515625" customWidth="1"/>
    <col min="5" max="5" width="5.7109375" customWidth="1"/>
    <col min="6" max="6" width="8" customWidth="1"/>
  </cols>
  <sheetData>
    <row r="1" spans="1:17" s="55" customFormat="1" ht="14.25" x14ac:dyDescent="0.2">
      <c r="A1" s="74" t="s">
        <v>2</v>
      </c>
      <c r="B1" s="74" t="s">
        <v>708</v>
      </c>
      <c r="C1" s="74"/>
      <c r="D1" s="74"/>
      <c r="E1" s="74"/>
      <c r="F1" s="74"/>
      <c r="G1" s="74"/>
      <c r="H1" s="74"/>
    </row>
    <row r="2" spans="1:17" x14ac:dyDescent="0.25">
      <c r="A2" s="75" t="s">
        <v>2</v>
      </c>
      <c r="B2" s="76" t="s">
        <v>116</v>
      </c>
      <c r="C2" s="76"/>
      <c r="D2" s="76" t="s">
        <v>117</v>
      </c>
      <c r="E2" s="76"/>
      <c r="F2" s="76" t="s">
        <v>114</v>
      </c>
      <c r="G2" s="76" t="s">
        <v>4</v>
      </c>
      <c r="H2" s="76" t="s">
        <v>113</v>
      </c>
    </row>
    <row r="3" spans="1:17" x14ac:dyDescent="0.25">
      <c r="A3" s="76">
        <v>7</v>
      </c>
      <c r="B3" s="76" t="s">
        <v>190</v>
      </c>
      <c r="C3" s="76"/>
      <c r="D3" s="76">
        <v>3769</v>
      </c>
      <c r="E3" s="76" t="s">
        <v>0</v>
      </c>
      <c r="F3" s="77">
        <v>25000</v>
      </c>
      <c r="G3" s="76">
        <v>56330</v>
      </c>
      <c r="H3" s="78">
        <f t="shared" ref="H3:H16" si="0">SUM(F3:G3)</f>
        <v>81330</v>
      </c>
    </row>
    <row r="4" spans="1:17" x14ac:dyDescent="0.25">
      <c r="A4" s="76">
        <v>12</v>
      </c>
      <c r="B4" s="76" t="s">
        <v>386</v>
      </c>
      <c r="C4" s="76"/>
      <c r="D4" s="76">
        <v>3836</v>
      </c>
      <c r="E4" s="76" t="s">
        <v>0</v>
      </c>
      <c r="F4" s="77">
        <v>25000</v>
      </c>
      <c r="G4" s="76">
        <v>25160</v>
      </c>
      <c r="H4" s="78">
        <f t="shared" si="0"/>
        <v>50160</v>
      </c>
    </row>
    <row r="5" spans="1:17" x14ac:dyDescent="0.25">
      <c r="A5" s="76">
        <v>11</v>
      </c>
      <c r="B5" s="76" t="s">
        <v>200</v>
      </c>
      <c r="C5" s="76" t="s">
        <v>201</v>
      </c>
      <c r="D5" s="76">
        <v>3786</v>
      </c>
      <c r="E5" s="76" t="s">
        <v>0</v>
      </c>
      <c r="F5" s="77">
        <v>25000</v>
      </c>
      <c r="G5" s="76">
        <v>20628</v>
      </c>
      <c r="H5" s="78">
        <f t="shared" si="0"/>
        <v>45628</v>
      </c>
      <c r="I5" t="s">
        <v>2</v>
      </c>
    </row>
    <row r="6" spans="1:17" x14ac:dyDescent="0.25">
      <c r="A6" s="76">
        <v>13</v>
      </c>
      <c r="B6" s="76" t="s">
        <v>227</v>
      </c>
      <c r="C6" s="76"/>
      <c r="D6" s="76">
        <v>3866</v>
      </c>
      <c r="E6" s="76" t="s">
        <v>0</v>
      </c>
      <c r="F6" s="77">
        <v>25000</v>
      </c>
      <c r="G6" s="76">
        <v>20610</v>
      </c>
      <c r="H6" s="78">
        <f t="shared" si="0"/>
        <v>45610</v>
      </c>
      <c r="M6" t="s">
        <v>373</v>
      </c>
    </row>
    <row r="7" spans="1:17" x14ac:dyDescent="0.25">
      <c r="A7" s="76">
        <v>17</v>
      </c>
      <c r="B7" s="76" t="s">
        <v>405</v>
      </c>
      <c r="C7" s="76"/>
      <c r="D7" s="76">
        <v>3809</v>
      </c>
      <c r="E7" s="76" t="s">
        <v>0</v>
      </c>
      <c r="F7" s="77">
        <v>25000</v>
      </c>
      <c r="G7" s="76">
        <v>19000</v>
      </c>
      <c r="H7" s="78">
        <f t="shared" si="0"/>
        <v>44000</v>
      </c>
    </row>
    <row r="8" spans="1:17" x14ac:dyDescent="0.25">
      <c r="A8" s="76">
        <v>20</v>
      </c>
      <c r="B8" s="76" t="s">
        <v>186</v>
      </c>
      <c r="C8" s="76" t="s">
        <v>181</v>
      </c>
      <c r="D8" s="76">
        <v>3807</v>
      </c>
      <c r="E8" s="76" t="s">
        <v>0</v>
      </c>
      <c r="F8" s="77">
        <v>25000</v>
      </c>
      <c r="G8" s="76">
        <v>15240</v>
      </c>
      <c r="H8" s="78">
        <f t="shared" si="0"/>
        <v>40240</v>
      </c>
      <c r="L8" t="s">
        <v>397</v>
      </c>
    </row>
    <row r="9" spans="1:17" x14ac:dyDescent="0.25">
      <c r="A9" s="76">
        <v>30</v>
      </c>
      <c r="B9" s="76" t="s">
        <v>374</v>
      </c>
      <c r="C9" s="76"/>
      <c r="D9" s="76">
        <v>3616</v>
      </c>
      <c r="E9" s="76" t="s">
        <v>0</v>
      </c>
      <c r="F9" s="77">
        <v>25000</v>
      </c>
      <c r="G9" s="76">
        <v>11864</v>
      </c>
      <c r="H9" s="78">
        <f t="shared" si="0"/>
        <v>36864</v>
      </c>
      <c r="I9" t="s">
        <v>378</v>
      </c>
    </row>
    <row r="10" spans="1:17" x14ac:dyDescent="0.25">
      <c r="A10" s="76">
        <v>61</v>
      </c>
      <c r="B10" s="76" t="s">
        <v>214</v>
      </c>
      <c r="C10" s="76" t="s">
        <v>174</v>
      </c>
      <c r="D10" s="76">
        <v>3819</v>
      </c>
      <c r="E10" s="76" t="s">
        <v>0</v>
      </c>
      <c r="F10" s="77">
        <v>25000</v>
      </c>
      <c r="G10" s="76">
        <v>11750</v>
      </c>
      <c r="H10" s="78">
        <f t="shared" si="0"/>
        <v>36750</v>
      </c>
    </row>
    <row r="11" spans="1:17" x14ac:dyDescent="0.25">
      <c r="A11" s="76">
        <v>25</v>
      </c>
      <c r="B11" s="76" t="s">
        <v>395</v>
      </c>
      <c r="C11" s="76"/>
      <c r="D11" s="76">
        <v>3653</v>
      </c>
      <c r="E11" s="76" t="s">
        <v>0</v>
      </c>
      <c r="F11" s="77">
        <v>25000</v>
      </c>
      <c r="G11" s="76">
        <v>7100</v>
      </c>
      <c r="H11" s="78">
        <f t="shared" si="0"/>
        <v>32100</v>
      </c>
    </row>
    <row r="12" spans="1:17" x14ac:dyDescent="0.25">
      <c r="A12" s="76">
        <v>33</v>
      </c>
      <c r="B12" s="76" t="s">
        <v>410</v>
      </c>
      <c r="C12" s="76"/>
      <c r="D12" s="76">
        <v>4047</v>
      </c>
      <c r="E12" s="76" t="s">
        <v>0</v>
      </c>
      <c r="F12" s="77">
        <v>25000</v>
      </c>
      <c r="G12" s="76">
        <v>6000</v>
      </c>
      <c r="H12" s="78">
        <f t="shared" si="0"/>
        <v>31000</v>
      </c>
      <c r="L12" t="s">
        <v>407</v>
      </c>
      <c r="Q12" t="s">
        <v>549</v>
      </c>
    </row>
    <row r="13" spans="1:17" x14ac:dyDescent="0.25">
      <c r="A13" s="76">
        <v>40</v>
      </c>
      <c r="B13" s="76" t="s">
        <v>210</v>
      </c>
      <c r="C13" s="76"/>
      <c r="D13" s="76">
        <v>3816</v>
      </c>
      <c r="E13" s="76" t="s">
        <v>0</v>
      </c>
      <c r="F13" s="77">
        <v>25000</v>
      </c>
      <c r="G13" s="76">
        <v>5850</v>
      </c>
      <c r="H13" s="78">
        <f t="shared" si="0"/>
        <v>30850</v>
      </c>
    </row>
    <row r="14" spans="1:17" x14ac:dyDescent="0.25">
      <c r="A14" s="76">
        <v>19</v>
      </c>
      <c r="B14" s="76" t="s">
        <v>321</v>
      </c>
      <c r="C14" s="76"/>
      <c r="D14" s="76">
        <v>3585</v>
      </c>
      <c r="E14" s="76" t="s">
        <v>0</v>
      </c>
      <c r="F14" s="77">
        <v>25000</v>
      </c>
      <c r="G14" s="76">
        <v>5569</v>
      </c>
      <c r="H14" s="78">
        <f t="shared" si="0"/>
        <v>30569</v>
      </c>
      <c r="N14" t="s">
        <v>396</v>
      </c>
    </row>
    <row r="15" spans="1:17" x14ac:dyDescent="0.25">
      <c r="A15" s="76">
        <v>55</v>
      </c>
      <c r="B15" s="76" t="s">
        <v>589</v>
      </c>
      <c r="C15" s="76"/>
      <c r="D15" s="76"/>
      <c r="E15" s="76" t="s">
        <v>0</v>
      </c>
      <c r="F15" s="77">
        <v>25000</v>
      </c>
      <c r="G15" s="76">
        <v>4900</v>
      </c>
      <c r="H15" s="78">
        <f t="shared" si="0"/>
        <v>29900</v>
      </c>
    </row>
    <row r="16" spans="1:17" x14ac:dyDescent="0.25">
      <c r="A16" s="76">
        <v>51</v>
      </c>
      <c r="B16" s="76" t="s">
        <v>228</v>
      </c>
      <c r="C16" s="76"/>
      <c r="D16" s="76">
        <v>3865</v>
      </c>
      <c r="E16" s="76" t="s">
        <v>0</v>
      </c>
      <c r="F16" s="77">
        <v>25000</v>
      </c>
      <c r="G16" s="76">
        <v>3000</v>
      </c>
      <c r="H16" s="78">
        <f t="shared" si="0"/>
        <v>28000</v>
      </c>
    </row>
    <row r="17" spans="1:12" x14ac:dyDescent="0.25">
      <c r="A17" s="76">
        <v>16</v>
      </c>
      <c r="B17" s="76" t="s">
        <v>316</v>
      </c>
      <c r="C17" s="76"/>
      <c r="D17" s="76">
        <v>3675</v>
      </c>
      <c r="E17" s="76" t="s">
        <v>0</v>
      </c>
      <c r="F17" s="77">
        <v>25000</v>
      </c>
      <c r="G17" s="76">
        <v>2879</v>
      </c>
      <c r="H17" s="78">
        <v>27879</v>
      </c>
    </row>
    <row r="18" spans="1:12" x14ac:dyDescent="0.25">
      <c r="A18" s="76">
        <v>36</v>
      </c>
      <c r="B18" s="76" t="s">
        <v>206</v>
      </c>
      <c r="C18" s="76"/>
      <c r="D18" s="76">
        <v>3798</v>
      </c>
      <c r="E18" s="76" t="s">
        <v>0</v>
      </c>
      <c r="F18" s="77">
        <v>25000</v>
      </c>
      <c r="G18" s="76">
        <v>2500</v>
      </c>
      <c r="H18" s="78">
        <f>SUM(F18:G18)</f>
        <v>27500</v>
      </c>
    </row>
    <row r="19" spans="1:12" x14ac:dyDescent="0.25">
      <c r="A19" s="76">
        <v>24</v>
      </c>
      <c r="B19" s="76" t="s">
        <v>544</v>
      </c>
      <c r="C19" s="76"/>
      <c r="D19" s="76">
        <v>4048</v>
      </c>
      <c r="E19" s="76" t="s">
        <v>0</v>
      </c>
      <c r="F19" s="77">
        <v>25000</v>
      </c>
      <c r="G19" s="76">
        <v>0</v>
      </c>
      <c r="H19" s="78">
        <f>SUM(F19:G19)</f>
        <v>25000</v>
      </c>
    </row>
    <row r="20" spans="1:12" x14ac:dyDescent="0.25">
      <c r="A20" s="76">
        <v>32</v>
      </c>
      <c r="B20" s="76" t="s">
        <v>218</v>
      </c>
      <c r="C20" s="76"/>
      <c r="D20" s="76">
        <v>3822</v>
      </c>
      <c r="E20" s="76" t="s">
        <v>0</v>
      </c>
      <c r="F20" s="77">
        <v>25000</v>
      </c>
      <c r="G20" s="76">
        <v>0</v>
      </c>
      <c r="H20" s="78">
        <f>SUM(F20:G20)</f>
        <v>25000</v>
      </c>
    </row>
    <row r="21" spans="1:12" x14ac:dyDescent="0.25">
      <c r="A21" s="76">
        <v>41</v>
      </c>
      <c r="B21" s="76" t="s">
        <v>589</v>
      </c>
      <c r="C21" s="76"/>
      <c r="D21" s="76">
        <v>4085</v>
      </c>
      <c r="E21" s="76" t="s">
        <v>0</v>
      </c>
      <c r="F21" s="77">
        <v>25000</v>
      </c>
      <c r="G21" s="76"/>
      <c r="H21" s="78">
        <v>25000</v>
      </c>
      <c r="J21" t="s">
        <v>2</v>
      </c>
    </row>
    <row r="22" spans="1:12" x14ac:dyDescent="0.25">
      <c r="A22" s="76">
        <v>22</v>
      </c>
      <c r="B22" s="76" t="s">
        <v>213</v>
      </c>
      <c r="C22" s="76" t="s">
        <v>212</v>
      </c>
      <c r="D22" s="76">
        <v>3818</v>
      </c>
      <c r="E22" s="76" t="s">
        <v>0</v>
      </c>
      <c r="F22" s="77">
        <v>24580</v>
      </c>
      <c r="G22" s="76">
        <v>0</v>
      </c>
      <c r="H22" s="78">
        <f>SUM(F22:G22)</f>
        <v>24580</v>
      </c>
      <c r="L22" t="s">
        <v>368</v>
      </c>
    </row>
    <row r="23" spans="1:12" x14ac:dyDescent="0.25">
      <c r="A23" s="76">
        <v>47</v>
      </c>
      <c r="B23" s="76" t="s">
        <v>219</v>
      </c>
      <c r="C23" s="76"/>
      <c r="D23" s="76">
        <v>3834</v>
      </c>
      <c r="E23" s="76" t="s">
        <v>0</v>
      </c>
      <c r="F23" s="77">
        <v>24050</v>
      </c>
      <c r="G23" s="76">
        <v>0</v>
      </c>
      <c r="H23" s="78">
        <f>SUM(F23:G23)</f>
        <v>24050</v>
      </c>
    </row>
    <row r="24" spans="1:12" x14ac:dyDescent="0.25">
      <c r="A24" s="76">
        <v>56</v>
      </c>
      <c r="B24" s="76" t="s">
        <v>208</v>
      </c>
      <c r="C24" s="76"/>
      <c r="D24" s="76">
        <v>3814</v>
      </c>
      <c r="E24" s="76" t="s">
        <v>0</v>
      </c>
      <c r="F24" s="77">
        <v>23260</v>
      </c>
      <c r="G24" s="76">
        <v>0</v>
      </c>
      <c r="H24" s="78">
        <f>SUM(F24:G24)</f>
        <v>23260</v>
      </c>
    </row>
    <row r="25" spans="1:12" x14ac:dyDescent="0.25">
      <c r="A25" s="76">
        <v>26</v>
      </c>
      <c r="B25" s="76" t="s">
        <v>127</v>
      </c>
      <c r="C25" s="76"/>
      <c r="D25" s="76">
        <v>3680</v>
      </c>
      <c r="E25" s="76" t="s">
        <v>0</v>
      </c>
      <c r="F25" s="77">
        <v>22640</v>
      </c>
      <c r="G25" s="76"/>
      <c r="H25" s="78">
        <v>22640</v>
      </c>
    </row>
    <row r="26" spans="1:12" x14ac:dyDescent="0.25">
      <c r="A26" s="76">
        <v>52</v>
      </c>
      <c r="B26" s="76" t="s">
        <v>348</v>
      </c>
      <c r="C26" s="76"/>
      <c r="D26" s="76">
        <v>3936</v>
      </c>
      <c r="E26" s="76" t="s">
        <v>631</v>
      </c>
      <c r="F26" s="77">
        <v>22000</v>
      </c>
      <c r="G26" s="76">
        <v>0</v>
      </c>
      <c r="H26" s="78">
        <f>SUM(F26:G26)</f>
        <v>22000</v>
      </c>
    </row>
    <row r="27" spans="1:12" x14ac:dyDescent="0.25">
      <c r="A27" s="76">
        <v>54</v>
      </c>
      <c r="B27" s="76" t="s">
        <v>214</v>
      </c>
      <c r="C27" s="76" t="s">
        <v>215</v>
      </c>
      <c r="D27" s="76">
        <v>3826</v>
      </c>
      <c r="E27" s="76" t="s">
        <v>0</v>
      </c>
      <c r="F27" s="77">
        <v>18250</v>
      </c>
      <c r="G27" s="76">
        <v>0</v>
      </c>
      <c r="H27" s="78">
        <f>SUM(F27:G27)</f>
        <v>18250</v>
      </c>
    </row>
    <row r="28" spans="1:12" x14ac:dyDescent="0.25">
      <c r="A28" s="76">
        <v>18</v>
      </c>
      <c r="B28" s="76" t="s">
        <v>258</v>
      </c>
      <c r="C28" s="76" t="s">
        <v>409</v>
      </c>
      <c r="D28" s="76">
        <v>3948</v>
      </c>
      <c r="E28" s="76" t="s">
        <v>0</v>
      </c>
      <c r="F28" s="77">
        <v>18125</v>
      </c>
      <c r="G28" s="76">
        <v>0</v>
      </c>
      <c r="H28" s="78">
        <f>SUM(F28:G28)</f>
        <v>18125</v>
      </c>
    </row>
    <row r="29" spans="1:12" x14ac:dyDescent="0.25">
      <c r="A29" s="76">
        <v>44</v>
      </c>
      <c r="B29" s="76" t="s">
        <v>195</v>
      </c>
      <c r="C29" s="76" t="s">
        <v>196</v>
      </c>
      <c r="D29" s="76">
        <v>3793</v>
      </c>
      <c r="E29" s="76" t="s">
        <v>0</v>
      </c>
      <c r="F29" s="77">
        <v>17700</v>
      </c>
      <c r="G29" s="76">
        <v>0</v>
      </c>
      <c r="H29" s="78">
        <f>SUM(F29:G29)</f>
        <v>17700</v>
      </c>
    </row>
    <row r="30" spans="1:12" x14ac:dyDescent="0.25">
      <c r="A30" s="76">
        <v>50</v>
      </c>
      <c r="B30" s="76" t="s">
        <v>180</v>
      </c>
      <c r="C30" s="76" t="s">
        <v>183</v>
      </c>
      <c r="D30" s="76">
        <v>3782</v>
      </c>
      <c r="E30" s="76" t="s">
        <v>0</v>
      </c>
      <c r="F30" s="77">
        <v>16675</v>
      </c>
      <c r="G30" s="76">
        <v>0</v>
      </c>
      <c r="H30" s="78">
        <f>SUM(F30:G30)</f>
        <v>16675</v>
      </c>
    </row>
    <row r="31" spans="1:12" x14ac:dyDescent="0.25">
      <c r="A31" s="76">
        <v>61</v>
      </c>
      <c r="B31" s="76" t="s">
        <v>126</v>
      </c>
      <c r="C31" s="76"/>
      <c r="D31" s="76">
        <v>3669</v>
      </c>
      <c r="E31" s="76" t="s">
        <v>0</v>
      </c>
      <c r="F31" s="77">
        <v>16200</v>
      </c>
      <c r="G31" s="76"/>
      <c r="H31" s="78">
        <v>16200</v>
      </c>
    </row>
    <row r="32" spans="1:12" x14ac:dyDescent="0.25">
      <c r="A32" s="76">
        <v>28</v>
      </c>
      <c r="B32" s="76" t="s">
        <v>216</v>
      </c>
      <c r="C32" s="76" t="s">
        <v>212</v>
      </c>
      <c r="D32" s="76">
        <v>3831</v>
      </c>
      <c r="E32" s="76" t="s">
        <v>0</v>
      </c>
      <c r="F32" s="77">
        <v>15100</v>
      </c>
      <c r="G32" s="76">
        <v>0</v>
      </c>
      <c r="H32" s="78">
        <f t="shared" ref="H32:H43" si="1">SUM(F32:G32)</f>
        <v>15100</v>
      </c>
    </row>
    <row r="33" spans="1:21" x14ac:dyDescent="0.25">
      <c r="A33" s="76">
        <v>60</v>
      </c>
      <c r="B33" s="76" t="s">
        <v>209</v>
      </c>
      <c r="C33" s="76"/>
      <c r="D33" s="76">
        <v>3815</v>
      </c>
      <c r="E33" s="76" t="s">
        <v>0</v>
      </c>
      <c r="F33" s="77">
        <v>14700</v>
      </c>
      <c r="G33" s="76">
        <v>0</v>
      </c>
      <c r="H33" s="78">
        <f t="shared" si="1"/>
        <v>14700</v>
      </c>
      <c r="U33" t="s">
        <v>2</v>
      </c>
    </row>
    <row r="34" spans="1:21" x14ac:dyDescent="0.25">
      <c r="A34" s="76">
        <v>37</v>
      </c>
      <c r="B34" s="76" t="s">
        <v>211</v>
      </c>
      <c r="C34" s="76" t="s">
        <v>229</v>
      </c>
      <c r="D34" s="76">
        <v>3817</v>
      </c>
      <c r="E34" s="76" t="s">
        <v>0</v>
      </c>
      <c r="F34" s="77">
        <v>12307</v>
      </c>
      <c r="G34" s="76">
        <v>0</v>
      </c>
      <c r="H34" s="78">
        <f t="shared" si="1"/>
        <v>12307</v>
      </c>
    </row>
    <row r="35" spans="1:21" x14ac:dyDescent="0.25">
      <c r="A35" s="76">
        <v>39</v>
      </c>
      <c r="B35" s="76" t="s">
        <v>178</v>
      </c>
      <c r="C35" s="76"/>
      <c r="D35" s="76">
        <v>3742</v>
      </c>
      <c r="E35" s="76" t="s">
        <v>0</v>
      </c>
      <c r="F35" s="77">
        <v>9460</v>
      </c>
      <c r="G35" s="76">
        <v>0</v>
      </c>
      <c r="H35" s="78">
        <f t="shared" si="1"/>
        <v>9460</v>
      </c>
      <c r="L35" t="s">
        <v>369</v>
      </c>
    </row>
    <row r="36" spans="1:21" x14ac:dyDescent="0.25">
      <c r="A36" s="76">
        <v>21</v>
      </c>
      <c r="B36" s="76" t="s">
        <v>216</v>
      </c>
      <c r="C36" s="76" t="s">
        <v>6</v>
      </c>
      <c r="D36" s="76">
        <v>3858</v>
      </c>
      <c r="E36" s="76" t="s">
        <v>0</v>
      </c>
      <c r="F36" s="77">
        <v>9200</v>
      </c>
      <c r="G36" s="76">
        <v>0</v>
      </c>
      <c r="H36" s="78">
        <f t="shared" si="1"/>
        <v>9200</v>
      </c>
    </row>
    <row r="37" spans="1:21" x14ac:dyDescent="0.25">
      <c r="A37" s="76">
        <v>58</v>
      </c>
      <c r="B37" s="76" t="s">
        <v>216</v>
      </c>
      <c r="C37" s="76" t="s">
        <v>199</v>
      </c>
      <c r="D37" s="76">
        <v>3862</v>
      </c>
      <c r="E37" s="76" t="s">
        <v>0</v>
      </c>
      <c r="F37" s="77">
        <v>8500</v>
      </c>
      <c r="G37" s="76">
        <v>0</v>
      </c>
      <c r="H37" s="78">
        <f t="shared" si="1"/>
        <v>8500</v>
      </c>
    </row>
    <row r="38" spans="1:21" x14ac:dyDescent="0.25">
      <c r="A38" s="76">
        <v>42</v>
      </c>
      <c r="B38" s="76" t="s">
        <v>197</v>
      </c>
      <c r="C38" s="76"/>
      <c r="D38" s="76">
        <v>3780</v>
      </c>
      <c r="E38" s="76" t="s">
        <v>0</v>
      </c>
      <c r="F38" s="77">
        <v>8100</v>
      </c>
      <c r="G38" s="76">
        <v>0</v>
      </c>
      <c r="H38" s="78">
        <f t="shared" si="1"/>
        <v>8100</v>
      </c>
    </row>
    <row r="39" spans="1:21" x14ac:dyDescent="0.25">
      <c r="A39" s="76">
        <v>45</v>
      </c>
      <c r="B39" s="76" t="s">
        <v>630</v>
      </c>
      <c r="C39" s="76"/>
      <c r="D39" s="76">
        <v>4060</v>
      </c>
      <c r="E39" s="76" t="s">
        <v>0</v>
      </c>
      <c r="F39" s="77">
        <v>8000</v>
      </c>
      <c r="G39" s="76">
        <v>0</v>
      </c>
      <c r="H39" s="78">
        <f t="shared" si="1"/>
        <v>8000</v>
      </c>
    </row>
    <row r="40" spans="1:21" x14ac:dyDescent="0.25">
      <c r="A40" s="76">
        <v>23</v>
      </c>
      <c r="B40" s="76" t="s">
        <v>3</v>
      </c>
      <c r="C40" s="76"/>
      <c r="D40" s="76">
        <v>3953</v>
      </c>
      <c r="E40" s="76" t="s">
        <v>0</v>
      </c>
      <c r="F40" s="77">
        <v>7450</v>
      </c>
      <c r="G40" s="76">
        <v>0</v>
      </c>
      <c r="H40" s="78">
        <f t="shared" si="1"/>
        <v>7450</v>
      </c>
    </row>
    <row r="41" spans="1:21" x14ac:dyDescent="0.25">
      <c r="A41" s="76">
        <v>52</v>
      </c>
      <c r="B41" s="76" t="s">
        <v>194</v>
      </c>
      <c r="C41" s="76"/>
      <c r="D41" s="76">
        <v>3778</v>
      </c>
      <c r="E41" s="76" t="s">
        <v>0</v>
      </c>
      <c r="F41" s="77">
        <v>5880</v>
      </c>
      <c r="G41" s="76">
        <v>0</v>
      </c>
      <c r="H41" s="78">
        <f t="shared" si="1"/>
        <v>5880</v>
      </c>
      <c r="I41" t="s">
        <v>2</v>
      </c>
    </row>
    <row r="42" spans="1:21" x14ac:dyDescent="0.25">
      <c r="A42" s="76">
        <v>62</v>
      </c>
      <c r="B42" s="76" t="s">
        <v>202</v>
      </c>
      <c r="C42" s="76" t="s">
        <v>207</v>
      </c>
      <c r="D42" s="76">
        <v>3812</v>
      </c>
      <c r="E42" s="76" t="s">
        <v>0</v>
      </c>
      <c r="F42" s="77">
        <v>4950</v>
      </c>
      <c r="G42" s="76">
        <v>0</v>
      </c>
      <c r="H42" s="78">
        <f t="shared" si="1"/>
        <v>4950</v>
      </c>
    </row>
    <row r="43" spans="1:21" x14ac:dyDescent="0.25">
      <c r="A43" s="76">
        <v>29</v>
      </c>
      <c r="B43" s="76" t="s">
        <v>187</v>
      </c>
      <c r="C43" s="76"/>
      <c r="D43" s="76">
        <v>3773</v>
      </c>
      <c r="E43" s="76" t="s">
        <v>0</v>
      </c>
      <c r="F43" s="77">
        <v>2000</v>
      </c>
      <c r="G43" s="76">
        <v>0</v>
      </c>
      <c r="H43" s="78">
        <f t="shared" si="1"/>
        <v>2000</v>
      </c>
      <c r="J43" t="s">
        <v>233</v>
      </c>
    </row>
    <row r="44" spans="1:21" x14ac:dyDescent="0.25">
      <c r="A44" s="76">
        <v>49</v>
      </c>
      <c r="B44" s="76" t="s">
        <v>188</v>
      </c>
      <c r="C44" s="76"/>
      <c r="D44" s="76">
        <v>3851</v>
      </c>
      <c r="E44" s="76" t="s">
        <v>0</v>
      </c>
      <c r="F44" s="77">
        <v>1575</v>
      </c>
      <c r="G44" s="76">
        <v>0</v>
      </c>
      <c r="H44" s="78">
        <v>1575</v>
      </c>
    </row>
    <row r="45" spans="1:21" x14ac:dyDescent="0.25">
      <c r="A45" s="76">
        <v>59</v>
      </c>
      <c r="B45" s="76" t="s">
        <v>180</v>
      </c>
      <c r="C45" s="76" t="s">
        <v>181</v>
      </c>
      <c r="D45" s="76">
        <v>3743</v>
      </c>
      <c r="E45" s="76" t="s">
        <v>0</v>
      </c>
      <c r="F45" s="77">
        <v>1000</v>
      </c>
      <c r="G45" s="76">
        <v>0</v>
      </c>
      <c r="H45" s="78">
        <f t="shared" ref="H45:H52" si="2">SUM(F45:G45)</f>
        <v>1000</v>
      </c>
    </row>
    <row r="46" spans="1:21" x14ac:dyDescent="0.25">
      <c r="A46" s="76">
        <v>57</v>
      </c>
      <c r="B46" s="76" t="s">
        <v>198</v>
      </c>
      <c r="C46" s="76"/>
      <c r="D46" s="76">
        <v>3783</v>
      </c>
      <c r="E46" s="76" t="s">
        <v>0</v>
      </c>
      <c r="F46" s="77">
        <v>0</v>
      </c>
      <c r="G46" s="76">
        <v>0</v>
      </c>
      <c r="H46" s="78">
        <f t="shared" si="2"/>
        <v>0</v>
      </c>
    </row>
    <row r="47" spans="1:21" x14ac:dyDescent="0.25">
      <c r="A47" s="76">
        <v>46</v>
      </c>
      <c r="B47" s="76" t="s">
        <v>182</v>
      </c>
      <c r="C47" s="76"/>
      <c r="D47" s="76">
        <v>3745</v>
      </c>
      <c r="E47" s="76" t="s">
        <v>0</v>
      </c>
      <c r="F47" s="77">
        <v>0</v>
      </c>
      <c r="G47" s="76">
        <v>0</v>
      </c>
      <c r="H47" s="78">
        <f t="shared" si="2"/>
        <v>0</v>
      </c>
    </row>
    <row r="48" spans="1:21" x14ac:dyDescent="0.25">
      <c r="A48" s="76">
        <v>35</v>
      </c>
      <c r="B48" s="76" t="s">
        <v>536</v>
      </c>
      <c r="C48" s="76"/>
      <c r="D48" s="76">
        <v>4077</v>
      </c>
      <c r="E48" s="76" t="s">
        <v>0</v>
      </c>
      <c r="F48" s="77">
        <v>0</v>
      </c>
      <c r="G48" s="76">
        <v>0</v>
      </c>
      <c r="H48" s="78">
        <f t="shared" si="2"/>
        <v>0</v>
      </c>
    </row>
    <row r="49" spans="1:11" x14ac:dyDescent="0.25">
      <c r="A49" s="76">
        <v>53</v>
      </c>
      <c r="B49" s="76" t="s">
        <v>203</v>
      </c>
      <c r="C49" s="76" t="s">
        <v>281</v>
      </c>
      <c r="D49" s="76">
        <v>3806</v>
      </c>
      <c r="E49" s="76" t="s">
        <v>0</v>
      </c>
      <c r="F49" s="77">
        <v>0</v>
      </c>
      <c r="G49" s="76">
        <v>0</v>
      </c>
      <c r="H49" s="78">
        <f t="shared" si="2"/>
        <v>0</v>
      </c>
    </row>
    <row r="50" spans="1:11" x14ac:dyDescent="0.25">
      <c r="A50" s="76">
        <v>27</v>
      </c>
      <c r="B50" s="76" t="s">
        <v>191</v>
      </c>
      <c r="C50" s="76" t="s">
        <v>192</v>
      </c>
      <c r="D50" s="76">
        <v>3768</v>
      </c>
      <c r="E50" s="76" t="s">
        <v>0</v>
      </c>
      <c r="F50" s="77">
        <v>0</v>
      </c>
      <c r="G50" s="76">
        <v>0</v>
      </c>
      <c r="H50" s="78">
        <f t="shared" si="2"/>
        <v>0</v>
      </c>
      <c r="K50" t="s">
        <v>632</v>
      </c>
    </row>
    <row r="51" spans="1:11" x14ac:dyDescent="0.25">
      <c r="A51" s="76">
        <v>48</v>
      </c>
      <c r="B51" s="76" t="s">
        <v>184</v>
      </c>
      <c r="C51" s="76" t="s">
        <v>185</v>
      </c>
      <c r="D51" s="76">
        <v>3747</v>
      </c>
      <c r="E51" s="76" t="s">
        <v>0</v>
      </c>
      <c r="F51" s="77">
        <v>0</v>
      </c>
      <c r="G51" s="76">
        <v>0</v>
      </c>
      <c r="H51" s="78">
        <f t="shared" si="2"/>
        <v>0</v>
      </c>
    </row>
    <row r="52" spans="1:11" x14ac:dyDescent="0.25">
      <c r="A52" s="76">
        <v>38</v>
      </c>
      <c r="B52" s="76" t="s">
        <v>179</v>
      </c>
      <c r="C52" s="76"/>
      <c r="D52" s="76">
        <v>3741</v>
      </c>
      <c r="E52" s="76" t="s">
        <v>0</v>
      </c>
      <c r="F52" s="77">
        <v>0</v>
      </c>
      <c r="G52" s="76">
        <v>0</v>
      </c>
      <c r="H52" s="78">
        <f t="shared" si="2"/>
        <v>0</v>
      </c>
    </row>
    <row r="53" spans="1:11" x14ac:dyDescent="0.25">
      <c r="A53" s="76">
        <v>43</v>
      </c>
      <c r="B53" s="76" t="s">
        <v>292</v>
      </c>
      <c r="C53" s="76"/>
      <c r="D53" s="76">
        <v>3668</v>
      </c>
      <c r="E53" s="76" t="s">
        <v>0</v>
      </c>
      <c r="F53" s="77">
        <v>0</v>
      </c>
      <c r="G53" s="76"/>
      <c r="H53" s="78">
        <v>0</v>
      </c>
    </row>
    <row r="54" spans="1:11" x14ac:dyDescent="0.25">
      <c r="A54" s="76"/>
      <c r="B54" s="76" t="s">
        <v>57</v>
      </c>
      <c r="C54" s="76"/>
      <c r="D54" s="76"/>
      <c r="E54" s="76"/>
      <c r="F54" s="77">
        <f>SUM(F3:F53)</f>
        <v>786702</v>
      </c>
      <c r="G54" s="76">
        <f>SUM(G3:G53)</f>
        <v>218380</v>
      </c>
      <c r="H54" s="79">
        <f>SUM(H3:H53)</f>
        <v>1005082</v>
      </c>
    </row>
  </sheetData>
  <sortState ref="A3:I53">
    <sortCondition descending="1" ref="H3:H53"/>
  </sortState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N43"/>
  <sheetViews>
    <sheetView zoomScale="130" zoomScaleNormal="130" workbookViewId="0">
      <selection activeCell="I2" sqref="I2"/>
    </sheetView>
  </sheetViews>
  <sheetFormatPr defaultRowHeight="15" x14ac:dyDescent="0.25"/>
  <cols>
    <col min="1" max="1" width="3.42578125" customWidth="1"/>
    <col min="3" max="3" width="14.5703125" customWidth="1"/>
    <col min="4" max="4" width="7" customWidth="1"/>
    <col min="5" max="5" width="2.7109375" customWidth="1"/>
    <col min="6" max="6" width="7.5703125" customWidth="1"/>
    <col min="7" max="7" width="7.85546875" customWidth="1"/>
    <col min="8" max="8" width="7.28515625" customWidth="1"/>
    <col min="9" max="9" width="10.5703125" customWidth="1"/>
  </cols>
  <sheetData>
    <row r="1" spans="1:12" x14ac:dyDescent="0.25">
      <c r="A1" s="88" t="s">
        <v>2</v>
      </c>
      <c r="B1" s="89" t="s">
        <v>724</v>
      </c>
      <c r="C1" s="89"/>
      <c r="D1" s="89"/>
      <c r="E1" s="89"/>
      <c r="F1" s="89"/>
      <c r="G1" s="89"/>
      <c r="H1" s="89"/>
    </row>
    <row r="2" spans="1:12" s="1" customFormat="1" x14ac:dyDescent="0.25">
      <c r="A2" s="104"/>
      <c r="B2" s="104" t="s">
        <v>116</v>
      </c>
      <c r="C2" s="104"/>
      <c r="D2" s="104" t="s">
        <v>330</v>
      </c>
      <c r="E2" s="104"/>
      <c r="F2" s="104" t="s">
        <v>114</v>
      </c>
      <c r="G2" s="104" t="s">
        <v>4</v>
      </c>
      <c r="H2" s="104" t="s">
        <v>113</v>
      </c>
    </row>
    <row r="3" spans="1:12" x14ac:dyDescent="0.25">
      <c r="A3" s="76">
        <v>1</v>
      </c>
      <c r="B3" s="76" t="s">
        <v>357</v>
      </c>
      <c r="C3" s="76"/>
      <c r="D3" s="76">
        <v>3964</v>
      </c>
      <c r="E3" s="76" t="s">
        <v>0</v>
      </c>
      <c r="F3" s="77">
        <v>25000</v>
      </c>
      <c r="G3" s="77">
        <v>37130</v>
      </c>
      <c r="H3" s="91">
        <f t="shared" ref="H3:H8" si="0">SUM(F3:G3)</f>
        <v>62130</v>
      </c>
      <c r="J3" t="s">
        <v>393</v>
      </c>
    </row>
    <row r="4" spans="1:12" x14ac:dyDescent="0.25">
      <c r="A4" s="76">
        <v>2</v>
      </c>
      <c r="B4" s="76" t="s">
        <v>351</v>
      </c>
      <c r="C4" s="76"/>
      <c r="D4" s="76">
        <v>3962</v>
      </c>
      <c r="E4" s="76" t="s">
        <v>0</v>
      </c>
      <c r="F4" s="77">
        <v>25000</v>
      </c>
      <c r="G4" s="77">
        <v>22482</v>
      </c>
      <c r="H4" s="91">
        <f t="shared" si="0"/>
        <v>47482</v>
      </c>
    </row>
    <row r="5" spans="1:12" x14ac:dyDescent="0.25">
      <c r="A5" s="76">
        <v>3</v>
      </c>
      <c r="B5" s="76" t="s">
        <v>352</v>
      </c>
      <c r="C5" s="76"/>
      <c r="D5" s="76">
        <v>3958</v>
      </c>
      <c r="E5" s="76" t="s">
        <v>0</v>
      </c>
      <c r="F5" s="77">
        <v>25000</v>
      </c>
      <c r="G5" s="77">
        <v>22380</v>
      </c>
      <c r="H5" s="91">
        <f t="shared" si="0"/>
        <v>47380</v>
      </c>
    </row>
    <row r="6" spans="1:12" x14ac:dyDescent="0.25">
      <c r="A6" s="76">
        <v>4</v>
      </c>
      <c r="B6" s="76" t="s">
        <v>540</v>
      </c>
      <c r="C6" s="76"/>
      <c r="D6" s="76">
        <v>4078</v>
      </c>
      <c r="E6" s="76" t="s">
        <v>0</v>
      </c>
      <c r="F6" s="77">
        <v>25000</v>
      </c>
      <c r="G6" s="77">
        <v>21550</v>
      </c>
      <c r="H6" s="91">
        <f t="shared" si="0"/>
        <v>46550</v>
      </c>
    </row>
    <row r="7" spans="1:12" x14ac:dyDescent="0.25">
      <c r="A7" s="76">
        <v>5</v>
      </c>
      <c r="B7" s="76" t="s">
        <v>359</v>
      </c>
      <c r="C7" s="76"/>
      <c r="D7" s="76">
        <v>3963</v>
      </c>
      <c r="E7" s="76" t="s">
        <v>0</v>
      </c>
      <c r="F7" s="77">
        <v>25000</v>
      </c>
      <c r="G7" s="77">
        <v>16800</v>
      </c>
      <c r="H7" s="91">
        <f t="shared" si="0"/>
        <v>41800</v>
      </c>
    </row>
    <row r="8" spans="1:12" x14ac:dyDescent="0.25">
      <c r="A8" s="76">
        <v>6</v>
      </c>
      <c r="B8" s="76" t="s">
        <v>356</v>
      </c>
      <c r="C8" s="76"/>
      <c r="D8" s="76">
        <v>3909</v>
      </c>
      <c r="E8" s="76" t="s">
        <v>0</v>
      </c>
      <c r="F8" s="77">
        <v>17000</v>
      </c>
      <c r="G8" s="77">
        <v>0</v>
      </c>
      <c r="H8" s="91">
        <f t="shared" si="0"/>
        <v>17000</v>
      </c>
    </row>
    <row r="9" spans="1:12" x14ac:dyDescent="0.25">
      <c r="A9" s="76">
        <v>7</v>
      </c>
      <c r="B9" s="92" t="s">
        <v>358</v>
      </c>
      <c r="C9" s="76"/>
      <c r="D9" s="92">
        <v>3966</v>
      </c>
      <c r="E9" s="76" t="s">
        <v>0</v>
      </c>
      <c r="F9" s="77">
        <v>14500</v>
      </c>
      <c r="G9" s="93">
        <v>0</v>
      </c>
      <c r="H9" s="91">
        <v>14500</v>
      </c>
      <c r="L9" t="s">
        <v>722</v>
      </c>
    </row>
    <row r="10" spans="1:12" x14ac:dyDescent="0.25">
      <c r="A10" s="76">
        <v>8</v>
      </c>
      <c r="B10" s="76" t="s">
        <v>333</v>
      </c>
      <c r="C10" s="76"/>
      <c r="D10" s="76">
        <v>3900</v>
      </c>
      <c r="E10" s="76" t="s">
        <v>0</v>
      </c>
      <c r="F10" s="77">
        <v>13965</v>
      </c>
      <c r="G10" s="77">
        <v>0</v>
      </c>
      <c r="H10" s="91">
        <f>SUM(F10:G10)</f>
        <v>13965</v>
      </c>
    </row>
    <row r="11" spans="1:12" x14ac:dyDescent="0.25">
      <c r="A11" s="76">
        <v>9</v>
      </c>
      <c r="B11" s="92" t="s">
        <v>651</v>
      </c>
      <c r="C11" s="76"/>
      <c r="D11" s="92">
        <v>4204</v>
      </c>
      <c r="E11" s="76" t="s">
        <v>0</v>
      </c>
      <c r="F11" s="77">
        <v>13750</v>
      </c>
      <c r="G11" s="93">
        <v>0</v>
      </c>
      <c r="H11" s="91">
        <v>13750</v>
      </c>
    </row>
    <row r="12" spans="1:12" x14ac:dyDescent="0.25">
      <c r="A12" s="76">
        <v>10</v>
      </c>
      <c r="B12" s="76" t="s">
        <v>649</v>
      </c>
      <c r="C12" s="76"/>
      <c r="D12" s="76">
        <v>3925</v>
      </c>
      <c r="E12" s="76" t="s">
        <v>0</v>
      </c>
      <c r="F12" s="77">
        <v>13200</v>
      </c>
      <c r="G12" s="77">
        <v>0</v>
      </c>
      <c r="H12" s="91">
        <f>SUM(F12:G12)</f>
        <v>13200</v>
      </c>
    </row>
    <row r="13" spans="1:12" x14ac:dyDescent="0.25">
      <c r="A13" s="76">
        <v>11</v>
      </c>
      <c r="B13" s="76" t="s">
        <v>343</v>
      </c>
      <c r="C13" s="76"/>
      <c r="D13" s="76">
        <v>3947</v>
      </c>
      <c r="E13" s="76" t="s">
        <v>0</v>
      </c>
      <c r="F13" s="77">
        <v>13000</v>
      </c>
      <c r="G13" s="77">
        <v>0</v>
      </c>
      <c r="H13" s="91">
        <v>13000</v>
      </c>
    </row>
    <row r="14" spans="1:12" x14ac:dyDescent="0.25">
      <c r="A14" s="76">
        <v>13</v>
      </c>
      <c r="B14" s="92" t="s">
        <v>647</v>
      </c>
      <c r="C14" s="76"/>
      <c r="D14" s="92">
        <v>4205</v>
      </c>
      <c r="E14" s="76"/>
      <c r="F14" s="77">
        <v>9000</v>
      </c>
      <c r="G14" s="93">
        <v>2000</v>
      </c>
      <c r="H14" s="91">
        <v>11000</v>
      </c>
    </row>
    <row r="15" spans="1:12" x14ac:dyDescent="0.25">
      <c r="A15" s="76">
        <v>14</v>
      </c>
      <c r="B15" s="76" t="s">
        <v>618</v>
      </c>
      <c r="C15" s="76"/>
      <c r="D15" s="76">
        <v>4185</v>
      </c>
      <c r="E15" s="76" t="s">
        <v>0</v>
      </c>
      <c r="F15" s="77">
        <v>9500</v>
      </c>
      <c r="G15" s="77">
        <v>0</v>
      </c>
      <c r="H15" s="91">
        <v>9500</v>
      </c>
    </row>
    <row r="16" spans="1:12" x14ac:dyDescent="0.25">
      <c r="A16" s="76">
        <v>15</v>
      </c>
      <c r="B16" s="76" t="s">
        <v>423</v>
      </c>
      <c r="C16" s="76"/>
      <c r="D16" s="76">
        <v>3934</v>
      </c>
      <c r="E16" s="76"/>
      <c r="F16" s="77">
        <v>8000</v>
      </c>
      <c r="G16" s="77">
        <v>0</v>
      </c>
      <c r="H16" s="91">
        <f t="shared" ref="H16:H25" si="1">SUM(F16:G16)</f>
        <v>8000</v>
      </c>
    </row>
    <row r="17" spans="1:14" x14ac:dyDescent="0.25">
      <c r="A17" s="76">
        <v>17</v>
      </c>
      <c r="B17" s="76" t="s">
        <v>635</v>
      </c>
      <c r="C17" s="76"/>
      <c r="D17" s="76">
        <v>4197</v>
      </c>
      <c r="E17" s="76"/>
      <c r="F17" s="77">
        <v>7000</v>
      </c>
      <c r="G17" s="77">
        <v>0</v>
      </c>
      <c r="H17" s="91">
        <f t="shared" si="1"/>
        <v>7000</v>
      </c>
      <c r="N17" t="s">
        <v>2</v>
      </c>
    </row>
    <row r="18" spans="1:14" x14ac:dyDescent="0.25">
      <c r="A18" s="76">
        <v>19</v>
      </c>
      <c r="B18" s="76" t="s">
        <v>364</v>
      </c>
      <c r="C18" s="76"/>
      <c r="D18" s="76">
        <v>3972</v>
      </c>
      <c r="E18" s="76"/>
      <c r="F18" s="77">
        <v>6190</v>
      </c>
      <c r="G18" s="77">
        <v>0</v>
      </c>
      <c r="H18" s="91">
        <f t="shared" si="1"/>
        <v>6190</v>
      </c>
      <c r="J18" t="s">
        <v>327</v>
      </c>
    </row>
    <row r="19" spans="1:14" x14ac:dyDescent="0.25">
      <c r="A19" s="76">
        <v>21</v>
      </c>
      <c r="B19" s="76" t="s">
        <v>340</v>
      </c>
      <c r="C19" s="76"/>
      <c r="D19" s="76">
        <v>3919</v>
      </c>
      <c r="E19" s="76" t="s">
        <v>0</v>
      </c>
      <c r="F19" s="77">
        <v>5560</v>
      </c>
      <c r="G19" s="77">
        <v>0</v>
      </c>
      <c r="H19" s="91">
        <f t="shared" si="1"/>
        <v>5560</v>
      </c>
      <c r="I19" t="s">
        <v>412</v>
      </c>
    </row>
    <row r="20" spans="1:14" x14ac:dyDescent="0.25">
      <c r="A20" s="76">
        <v>22</v>
      </c>
      <c r="B20" s="76" t="s">
        <v>377</v>
      </c>
      <c r="C20" s="76"/>
      <c r="D20" s="76">
        <v>3891</v>
      </c>
      <c r="E20" s="76" t="s">
        <v>0</v>
      </c>
      <c r="F20" s="77">
        <v>5500</v>
      </c>
      <c r="G20" s="77">
        <v>0</v>
      </c>
      <c r="H20" s="91">
        <f t="shared" si="1"/>
        <v>5500</v>
      </c>
    </row>
    <row r="21" spans="1:14" x14ac:dyDescent="0.25">
      <c r="A21" s="76">
        <v>23</v>
      </c>
      <c r="B21" s="76" t="s">
        <v>350</v>
      </c>
      <c r="C21" s="76"/>
      <c r="D21" s="76">
        <v>3954</v>
      </c>
      <c r="E21" s="76" t="s">
        <v>0</v>
      </c>
      <c r="F21" s="77">
        <v>5000</v>
      </c>
      <c r="G21" s="77">
        <v>0</v>
      </c>
      <c r="H21" s="91">
        <f t="shared" si="1"/>
        <v>5000</v>
      </c>
    </row>
    <row r="22" spans="1:14" x14ac:dyDescent="0.25">
      <c r="A22" s="76">
        <v>24</v>
      </c>
      <c r="B22" s="76" t="s">
        <v>361</v>
      </c>
      <c r="C22" s="76"/>
      <c r="D22" s="76">
        <v>3968</v>
      </c>
      <c r="E22" s="76" t="s">
        <v>0</v>
      </c>
      <c r="F22" s="77">
        <v>3985</v>
      </c>
      <c r="G22" s="77">
        <v>0</v>
      </c>
      <c r="H22" s="91">
        <f t="shared" si="1"/>
        <v>3985</v>
      </c>
    </row>
    <row r="23" spans="1:14" x14ac:dyDescent="0.25">
      <c r="A23" s="76">
        <v>25</v>
      </c>
      <c r="B23" s="76" t="s">
        <v>406</v>
      </c>
      <c r="C23" s="76"/>
      <c r="D23" s="76">
        <v>3892</v>
      </c>
      <c r="E23" s="76" t="s">
        <v>0</v>
      </c>
      <c r="F23" s="77">
        <v>3380</v>
      </c>
      <c r="G23" s="77">
        <v>0</v>
      </c>
      <c r="H23" s="91">
        <f t="shared" si="1"/>
        <v>3380</v>
      </c>
    </row>
    <row r="24" spans="1:14" x14ac:dyDescent="0.25">
      <c r="A24" s="76">
        <v>26</v>
      </c>
      <c r="B24" s="76" t="s">
        <v>339</v>
      </c>
      <c r="C24" s="76"/>
      <c r="D24" s="76">
        <v>3921</v>
      </c>
      <c r="E24" s="76" t="s">
        <v>0</v>
      </c>
      <c r="F24" s="77">
        <v>2960</v>
      </c>
      <c r="G24" s="77">
        <v>0</v>
      </c>
      <c r="H24" s="91">
        <f t="shared" si="1"/>
        <v>2960</v>
      </c>
    </row>
    <row r="25" spans="1:14" x14ac:dyDescent="0.25">
      <c r="A25" s="76">
        <v>20</v>
      </c>
      <c r="B25" s="76" t="s">
        <v>334</v>
      </c>
      <c r="C25" s="76"/>
      <c r="D25" s="76">
        <v>3950</v>
      </c>
      <c r="E25" s="76"/>
      <c r="F25" s="77">
        <v>2720</v>
      </c>
      <c r="G25" s="77">
        <v>0</v>
      </c>
      <c r="H25" s="91">
        <f t="shared" si="1"/>
        <v>2720</v>
      </c>
    </row>
    <row r="26" spans="1:14" x14ac:dyDescent="0.25">
      <c r="A26" s="76">
        <v>27</v>
      </c>
      <c r="B26" s="92" t="s">
        <v>640</v>
      </c>
      <c r="C26" s="76"/>
      <c r="D26" s="92">
        <v>4198</v>
      </c>
      <c r="E26" s="76" t="s">
        <v>0</v>
      </c>
      <c r="F26" s="77">
        <v>2400</v>
      </c>
      <c r="G26" s="93">
        <v>0</v>
      </c>
      <c r="H26" s="91">
        <v>2400</v>
      </c>
    </row>
    <row r="27" spans="1:14" x14ac:dyDescent="0.25">
      <c r="A27" s="76">
        <v>28</v>
      </c>
      <c r="B27" s="76" t="s">
        <v>652</v>
      </c>
      <c r="C27" s="76"/>
      <c r="D27" s="76">
        <v>3852</v>
      </c>
      <c r="E27" s="76"/>
      <c r="F27" s="77">
        <v>2125</v>
      </c>
      <c r="G27" s="77">
        <v>0</v>
      </c>
      <c r="H27" s="91">
        <v>2125</v>
      </c>
    </row>
    <row r="28" spans="1:14" x14ac:dyDescent="0.25">
      <c r="A28" s="76">
        <v>18</v>
      </c>
      <c r="B28" s="76" t="s">
        <v>332</v>
      </c>
      <c r="C28" s="76"/>
      <c r="D28" s="76">
        <v>3894</v>
      </c>
      <c r="E28" s="76" t="s">
        <v>0</v>
      </c>
      <c r="F28" s="77">
        <v>1445</v>
      </c>
      <c r="G28" s="77">
        <v>0</v>
      </c>
      <c r="H28" s="91">
        <f>SUM(F28:G28)</f>
        <v>1445</v>
      </c>
    </row>
    <row r="29" spans="1:14" x14ac:dyDescent="0.25">
      <c r="A29" s="76">
        <v>30</v>
      </c>
      <c r="B29" s="76" t="s">
        <v>349</v>
      </c>
      <c r="C29" s="76"/>
      <c r="D29" s="76">
        <v>3946</v>
      </c>
      <c r="E29" s="76"/>
      <c r="F29" s="77">
        <v>150</v>
      </c>
      <c r="G29" s="77">
        <v>0</v>
      </c>
      <c r="H29" s="91">
        <f>SUM(F29:G29)</f>
        <v>150</v>
      </c>
    </row>
    <row r="30" spans="1:14" x14ac:dyDescent="0.25">
      <c r="A30" s="76">
        <v>16</v>
      </c>
      <c r="B30" s="76" t="s">
        <v>355</v>
      </c>
      <c r="C30" s="76"/>
      <c r="D30" s="76">
        <v>3961</v>
      </c>
      <c r="E30" s="76" t="s">
        <v>0</v>
      </c>
      <c r="F30" s="77">
        <v>80</v>
      </c>
      <c r="G30" s="77">
        <v>0</v>
      </c>
      <c r="H30" s="91">
        <f>SUM(F30:G30)</f>
        <v>80</v>
      </c>
    </row>
    <row r="31" spans="1:14" x14ac:dyDescent="0.25">
      <c r="A31" s="76">
        <v>31</v>
      </c>
      <c r="B31" s="76" t="s">
        <v>337</v>
      </c>
      <c r="C31" s="76"/>
      <c r="D31" s="76">
        <v>3911</v>
      </c>
      <c r="E31" s="76" t="s">
        <v>0</v>
      </c>
      <c r="F31" s="77">
        <v>50</v>
      </c>
      <c r="G31" s="77">
        <v>0</v>
      </c>
      <c r="H31" s="91">
        <f>SUM(F31:G31)</f>
        <v>50</v>
      </c>
    </row>
    <row r="32" spans="1:14" x14ac:dyDescent="0.25">
      <c r="A32" s="76">
        <v>29</v>
      </c>
      <c r="B32" s="76" t="s">
        <v>344</v>
      </c>
      <c r="C32" s="76"/>
      <c r="D32" s="76">
        <v>3943</v>
      </c>
      <c r="E32" s="76" t="s">
        <v>0</v>
      </c>
      <c r="F32" s="77">
        <v>0</v>
      </c>
      <c r="G32" s="77">
        <v>0</v>
      </c>
      <c r="H32" s="91">
        <v>0</v>
      </c>
    </row>
    <row r="33" spans="1:8" x14ac:dyDescent="0.25">
      <c r="A33" s="76">
        <v>12</v>
      </c>
      <c r="B33" s="76" t="s">
        <v>338</v>
      </c>
      <c r="C33" s="76"/>
      <c r="D33" s="76">
        <v>3913</v>
      </c>
      <c r="E33" s="76" t="s">
        <v>0</v>
      </c>
      <c r="F33" s="77">
        <v>0</v>
      </c>
      <c r="G33" s="77">
        <v>0</v>
      </c>
      <c r="H33" s="91">
        <v>0</v>
      </c>
    </row>
    <row r="34" spans="1:8" x14ac:dyDescent="0.25">
      <c r="A34" s="76">
        <v>32</v>
      </c>
      <c r="B34" s="76" t="s">
        <v>345</v>
      </c>
      <c r="C34" s="76"/>
      <c r="D34" s="76">
        <v>3915</v>
      </c>
      <c r="E34" s="76"/>
      <c r="F34" s="77">
        <v>0</v>
      </c>
      <c r="G34" s="77">
        <v>0</v>
      </c>
      <c r="H34" s="91">
        <f>SUM(F34:G34)</f>
        <v>0</v>
      </c>
    </row>
    <row r="35" spans="1:8" x14ac:dyDescent="0.25">
      <c r="A35" s="76">
        <v>33</v>
      </c>
      <c r="B35" s="76" t="s">
        <v>331</v>
      </c>
      <c r="C35" s="76"/>
      <c r="D35" s="76">
        <v>3882</v>
      </c>
      <c r="E35" s="76"/>
      <c r="F35" s="77">
        <v>0</v>
      </c>
      <c r="G35" s="77">
        <v>0</v>
      </c>
      <c r="H35" s="91">
        <f>SUM(F35:G35)</f>
        <v>0</v>
      </c>
    </row>
    <row r="36" spans="1:8" x14ac:dyDescent="0.25">
      <c r="A36" s="76">
        <v>34</v>
      </c>
      <c r="B36" s="76" t="s">
        <v>341</v>
      </c>
      <c r="C36" s="76"/>
      <c r="D36" s="76">
        <v>3928</v>
      </c>
      <c r="E36" s="76" t="s">
        <v>0</v>
      </c>
      <c r="F36" s="77">
        <v>0</v>
      </c>
      <c r="G36" s="77">
        <v>0</v>
      </c>
      <c r="H36" s="91">
        <f>SUM(F36:G36)</f>
        <v>0</v>
      </c>
    </row>
    <row r="37" spans="1:8" x14ac:dyDescent="0.25">
      <c r="A37" s="76">
        <v>35</v>
      </c>
      <c r="B37" s="76" t="s">
        <v>336</v>
      </c>
      <c r="C37" s="76"/>
      <c r="D37" s="76">
        <v>3904</v>
      </c>
      <c r="E37" s="76" t="s">
        <v>0</v>
      </c>
      <c r="F37" s="77">
        <v>0</v>
      </c>
      <c r="G37" s="77">
        <v>0</v>
      </c>
      <c r="H37" s="91">
        <f>SUM(F37:G37)</f>
        <v>0</v>
      </c>
    </row>
    <row r="38" spans="1:8" x14ac:dyDescent="0.25">
      <c r="A38" s="76">
        <v>36</v>
      </c>
      <c r="B38" s="76" t="s">
        <v>363</v>
      </c>
      <c r="C38" s="76"/>
      <c r="D38" s="76">
        <v>3973</v>
      </c>
      <c r="E38" s="76" t="s">
        <v>0</v>
      </c>
      <c r="F38" s="77">
        <v>0</v>
      </c>
      <c r="G38" s="77">
        <v>0</v>
      </c>
      <c r="H38" s="91">
        <f>SUM(F38:G38)</f>
        <v>0</v>
      </c>
    </row>
    <row r="39" spans="1:8" x14ac:dyDescent="0.25">
      <c r="A39" s="76">
        <v>37</v>
      </c>
      <c r="B39" s="76" t="s">
        <v>362</v>
      </c>
      <c r="C39" s="76"/>
      <c r="D39" s="76">
        <v>3971</v>
      </c>
      <c r="E39" s="76" t="s">
        <v>0</v>
      </c>
      <c r="F39" s="77">
        <v>0</v>
      </c>
      <c r="G39" s="77">
        <v>0</v>
      </c>
      <c r="H39" s="91">
        <v>0</v>
      </c>
    </row>
    <row r="40" spans="1:8" x14ac:dyDescent="0.25">
      <c r="A40" s="76">
        <v>38</v>
      </c>
      <c r="B40" s="76" t="s">
        <v>706</v>
      </c>
      <c r="C40" s="76"/>
      <c r="D40" s="76">
        <v>4333</v>
      </c>
      <c r="E40" s="76" t="s">
        <v>0</v>
      </c>
      <c r="F40" s="77">
        <v>0</v>
      </c>
      <c r="G40" s="77">
        <v>0</v>
      </c>
      <c r="H40" s="91">
        <f>SUM(F40:G40)</f>
        <v>0</v>
      </c>
    </row>
    <row r="41" spans="1:8" x14ac:dyDescent="0.25">
      <c r="A41" s="76">
        <v>39</v>
      </c>
      <c r="B41" s="76" t="s">
        <v>342</v>
      </c>
      <c r="C41" s="76"/>
      <c r="D41" s="76">
        <v>3941</v>
      </c>
      <c r="E41" s="76"/>
      <c r="F41" s="77">
        <v>0</v>
      </c>
      <c r="G41" s="77">
        <v>0</v>
      </c>
      <c r="H41" s="91">
        <f>SUM(F41:G41)</f>
        <v>0</v>
      </c>
    </row>
    <row r="42" spans="1:8" x14ac:dyDescent="0.25">
      <c r="A42" s="76">
        <v>40</v>
      </c>
      <c r="B42" s="76" t="s">
        <v>372</v>
      </c>
      <c r="C42" s="76"/>
      <c r="D42" s="76">
        <v>3976</v>
      </c>
      <c r="E42" s="76"/>
      <c r="F42" s="77">
        <v>0</v>
      </c>
      <c r="G42" s="77">
        <v>0</v>
      </c>
      <c r="H42" s="91">
        <f>SUM(F42:G42)</f>
        <v>0</v>
      </c>
    </row>
    <row r="43" spans="1:8" x14ac:dyDescent="0.25">
      <c r="A43" s="90" t="s">
        <v>57</v>
      </c>
      <c r="B43" s="90"/>
      <c r="C43" s="90"/>
      <c r="D43" s="90"/>
      <c r="E43" s="90"/>
      <c r="F43" s="94">
        <f>SUM(F3:F42)</f>
        <v>285460</v>
      </c>
      <c r="G43" s="94">
        <f>SUM(G3:G36)</f>
        <v>122342</v>
      </c>
      <c r="H43" s="95">
        <f>SUM(H3:H36)</f>
        <v>407802</v>
      </c>
    </row>
  </sheetData>
  <sortState ref="A3:H42">
    <sortCondition descending="1" ref="H3:H42"/>
  </sortState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U40"/>
  <sheetViews>
    <sheetView zoomScale="115" zoomScaleNormal="115" workbookViewId="0">
      <selection activeCell="I2" sqref="I2"/>
    </sheetView>
  </sheetViews>
  <sheetFormatPr defaultRowHeight="15" x14ac:dyDescent="0.25"/>
  <cols>
    <col min="1" max="1" width="3.42578125" customWidth="1"/>
    <col min="3" max="3" width="16.85546875" customWidth="1"/>
    <col min="4" max="4" width="5.42578125" customWidth="1"/>
    <col min="5" max="5" width="3.42578125" customWidth="1"/>
    <col min="6" max="6" width="7.7109375" customWidth="1"/>
    <col min="7" max="7" width="8.85546875" customWidth="1"/>
    <col min="8" max="8" width="8.42578125" customWidth="1"/>
  </cols>
  <sheetData>
    <row r="1" spans="1:10" s="67" customFormat="1" ht="14.25" x14ac:dyDescent="0.2">
      <c r="A1" s="66" t="s">
        <v>725</v>
      </c>
      <c r="B1" s="66"/>
      <c r="C1" s="66"/>
      <c r="D1" s="66"/>
      <c r="E1" s="66"/>
      <c r="F1" s="66"/>
      <c r="G1" s="66"/>
      <c r="H1" s="66"/>
    </row>
    <row r="2" spans="1:10" s="1" customFormat="1" x14ac:dyDescent="0.25">
      <c r="A2" s="66"/>
      <c r="B2" s="66" t="s">
        <v>116</v>
      </c>
      <c r="C2" s="66"/>
      <c r="D2" s="66" t="s">
        <v>284</v>
      </c>
      <c r="E2" s="66"/>
      <c r="F2" s="66" t="s">
        <v>114</v>
      </c>
      <c r="G2" s="66" t="s">
        <v>4</v>
      </c>
      <c r="H2" s="66" t="s">
        <v>113</v>
      </c>
    </row>
    <row r="3" spans="1:10" x14ac:dyDescent="0.25">
      <c r="A3" s="81">
        <v>1</v>
      </c>
      <c r="B3" s="81" t="s">
        <v>417</v>
      </c>
      <c r="C3" s="81"/>
      <c r="D3" s="81">
        <v>3903</v>
      </c>
      <c r="E3" s="81" t="s">
        <v>0</v>
      </c>
      <c r="F3" s="81">
        <v>25000</v>
      </c>
      <c r="G3" s="81">
        <v>26360</v>
      </c>
      <c r="H3" s="81">
        <f>SUM(F3:G3)</f>
        <v>51360</v>
      </c>
    </row>
    <row r="4" spans="1:10" x14ac:dyDescent="0.25">
      <c r="A4" s="81">
        <v>2</v>
      </c>
      <c r="B4" s="81" t="s">
        <v>439</v>
      </c>
      <c r="C4" s="81"/>
      <c r="D4" s="81">
        <v>4068</v>
      </c>
      <c r="E4" s="81" t="s">
        <v>0</v>
      </c>
      <c r="F4" s="81">
        <v>25000</v>
      </c>
      <c r="G4" s="81">
        <v>14600</v>
      </c>
      <c r="H4" s="81">
        <f t="shared" ref="H4:H11" si="0">SUM(F4:G4)</f>
        <v>39600</v>
      </c>
    </row>
    <row r="5" spans="1:10" x14ac:dyDescent="0.25">
      <c r="A5" s="81">
        <v>3</v>
      </c>
      <c r="B5" s="81" t="s">
        <v>419</v>
      </c>
      <c r="C5" s="81"/>
      <c r="D5" s="81">
        <v>3957</v>
      </c>
      <c r="E5" s="81" t="s">
        <v>0</v>
      </c>
      <c r="F5" s="81">
        <v>25000</v>
      </c>
      <c r="G5" s="81">
        <v>11000</v>
      </c>
      <c r="H5" s="81">
        <f t="shared" si="0"/>
        <v>36000</v>
      </c>
    </row>
    <row r="6" spans="1:10" x14ac:dyDescent="0.25">
      <c r="A6" s="81">
        <v>4</v>
      </c>
      <c r="B6" s="81" t="s">
        <v>416</v>
      </c>
      <c r="C6" s="81"/>
      <c r="D6" s="81">
        <v>3944</v>
      </c>
      <c r="E6" s="81" t="s">
        <v>0</v>
      </c>
      <c r="F6" s="81">
        <v>25000</v>
      </c>
      <c r="G6" s="81">
        <v>10000</v>
      </c>
      <c r="H6" s="81">
        <f t="shared" si="0"/>
        <v>35000</v>
      </c>
    </row>
    <row r="7" spans="1:10" x14ac:dyDescent="0.25">
      <c r="A7" s="81">
        <v>5</v>
      </c>
      <c r="B7" s="81" t="s">
        <v>539</v>
      </c>
      <c r="C7" s="81"/>
      <c r="D7" s="81">
        <v>4079</v>
      </c>
      <c r="E7" s="81" t="s">
        <v>0</v>
      </c>
      <c r="F7" s="81">
        <v>25000</v>
      </c>
      <c r="G7" s="81">
        <v>6850</v>
      </c>
      <c r="H7" s="81">
        <f t="shared" si="0"/>
        <v>31850</v>
      </c>
    </row>
    <row r="8" spans="1:10" x14ac:dyDescent="0.25">
      <c r="A8" s="81">
        <v>6</v>
      </c>
      <c r="B8" s="81" t="s">
        <v>415</v>
      </c>
      <c r="C8" s="81"/>
      <c r="D8" s="81">
        <v>3928</v>
      </c>
      <c r="E8" s="81"/>
      <c r="F8" s="81">
        <v>9000</v>
      </c>
      <c r="G8" s="81">
        <v>18000</v>
      </c>
      <c r="H8" s="81">
        <f t="shared" si="0"/>
        <v>27000</v>
      </c>
    </row>
    <row r="9" spans="1:10" x14ac:dyDescent="0.25">
      <c r="A9" s="81">
        <v>7</v>
      </c>
      <c r="B9" s="81" t="s">
        <v>421</v>
      </c>
      <c r="C9" s="81"/>
      <c r="D9" s="81">
        <v>3910</v>
      </c>
      <c r="E9" s="81"/>
      <c r="F9" s="81">
        <v>9000</v>
      </c>
      <c r="G9" s="81">
        <v>18000</v>
      </c>
      <c r="H9" s="81">
        <f t="shared" si="0"/>
        <v>27000</v>
      </c>
    </row>
    <row r="10" spans="1:10" x14ac:dyDescent="0.25">
      <c r="A10" s="81">
        <v>8</v>
      </c>
      <c r="B10" s="81" t="s">
        <v>425</v>
      </c>
      <c r="C10" s="81"/>
      <c r="D10" s="81">
        <v>4037</v>
      </c>
      <c r="E10" s="81"/>
      <c r="F10" s="81">
        <v>9000</v>
      </c>
      <c r="G10" s="81">
        <v>15000</v>
      </c>
      <c r="H10" s="81">
        <f t="shared" si="0"/>
        <v>24000</v>
      </c>
      <c r="J10" t="s">
        <v>2</v>
      </c>
    </row>
    <row r="11" spans="1:10" x14ac:dyDescent="0.25">
      <c r="A11" s="81">
        <v>10</v>
      </c>
      <c r="B11" s="81" t="s">
        <v>428</v>
      </c>
      <c r="C11" s="81"/>
      <c r="D11" s="81">
        <v>3912</v>
      </c>
      <c r="E11" s="81" t="s">
        <v>0</v>
      </c>
      <c r="F11" s="81">
        <v>22000</v>
      </c>
      <c r="G11" s="81">
        <v>0</v>
      </c>
      <c r="H11" s="81">
        <f t="shared" si="0"/>
        <v>22000</v>
      </c>
    </row>
    <row r="12" spans="1:10" x14ac:dyDescent="0.25">
      <c r="A12" s="81">
        <v>11</v>
      </c>
      <c r="B12" s="81" t="s">
        <v>427</v>
      </c>
      <c r="C12" s="81"/>
      <c r="D12" s="81">
        <v>3940</v>
      </c>
      <c r="E12" s="81" t="s">
        <v>0</v>
      </c>
      <c r="F12" s="81">
        <v>7865</v>
      </c>
      <c r="G12" s="81">
        <v>0</v>
      </c>
      <c r="H12" s="81">
        <f>SUM(F12:G12)</f>
        <v>7865</v>
      </c>
    </row>
    <row r="13" spans="1:10" x14ac:dyDescent="0.25">
      <c r="A13" s="81">
        <v>13</v>
      </c>
      <c r="B13" s="81" t="s">
        <v>126</v>
      </c>
      <c r="C13" s="81"/>
      <c r="D13" s="81">
        <v>4195</v>
      </c>
      <c r="E13" s="81" t="s">
        <v>0</v>
      </c>
      <c r="F13" s="82">
        <v>21400</v>
      </c>
      <c r="G13" s="81">
        <v>0</v>
      </c>
      <c r="H13" s="81">
        <v>21400</v>
      </c>
    </row>
    <row r="14" spans="1:10" x14ac:dyDescent="0.25">
      <c r="A14" s="81">
        <v>14</v>
      </c>
      <c r="B14" s="81" t="s">
        <v>414</v>
      </c>
      <c r="C14" s="81"/>
      <c r="D14" s="81">
        <v>3914</v>
      </c>
      <c r="E14" s="81"/>
      <c r="F14" s="81">
        <v>9000</v>
      </c>
      <c r="G14" s="81">
        <v>11000</v>
      </c>
      <c r="H14" s="81">
        <f>SUM(F14:G14)</f>
        <v>20000</v>
      </c>
    </row>
    <row r="15" spans="1:10" x14ac:dyDescent="0.25">
      <c r="A15" s="81">
        <v>15</v>
      </c>
      <c r="B15" s="81" t="s">
        <v>694</v>
      </c>
      <c r="C15" s="81"/>
      <c r="D15" s="81">
        <v>4256</v>
      </c>
      <c r="E15" s="81" t="s">
        <v>0</v>
      </c>
      <c r="F15" s="81">
        <v>18900</v>
      </c>
      <c r="G15" s="81">
        <v>0</v>
      </c>
      <c r="H15" s="81">
        <v>18900</v>
      </c>
    </row>
    <row r="16" spans="1:10" x14ac:dyDescent="0.25">
      <c r="A16" s="81">
        <v>16</v>
      </c>
      <c r="B16" s="81" t="s">
        <v>436</v>
      </c>
      <c r="C16" s="81" t="s">
        <v>212</v>
      </c>
      <c r="D16" s="81">
        <v>3881</v>
      </c>
      <c r="E16" s="81" t="s">
        <v>0</v>
      </c>
      <c r="F16" s="81">
        <v>8340</v>
      </c>
      <c r="G16" s="81">
        <v>0</v>
      </c>
      <c r="H16" s="81">
        <f>SUM(F16:G16)</f>
        <v>8340</v>
      </c>
    </row>
    <row r="17" spans="1:21" x14ac:dyDescent="0.25">
      <c r="A17" s="81">
        <v>17</v>
      </c>
      <c r="B17" s="81" t="s">
        <v>653</v>
      </c>
      <c r="C17" s="81"/>
      <c r="D17" s="81">
        <v>3864</v>
      </c>
      <c r="E17" s="81"/>
      <c r="F17" s="81">
        <v>9000</v>
      </c>
      <c r="G17" s="81">
        <v>9000</v>
      </c>
      <c r="H17" s="81">
        <v>18000</v>
      </c>
    </row>
    <row r="18" spans="1:21" x14ac:dyDescent="0.25">
      <c r="A18" s="81">
        <v>18</v>
      </c>
      <c r="B18" s="81" t="s">
        <v>420</v>
      </c>
      <c r="C18" s="81"/>
      <c r="D18" s="81">
        <v>3942</v>
      </c>
      <c r="E18" s="81"/>
      <c r="F18" s="81">
        <v>9000</v>
      </c>
      <c r="G18" s="81">
        <v>9000</v>
      </c>
      <c r="H18" s="81">
        <f>SUM(F18:G18)</f>
        <v>18000</v>
      </c>
      <c r="U18" t="s">
        <v>719</v>
      </c>
    </row>
    <row r="19" spans="1:21" x14ac:dyDescent="0.25">
      <c r="A19" s="81">
        <v>19</v>
      </c>
      <c r="B19" s="81" t="s">
        <v>433</v>
      </c>
      <c r="C19" s="81"/>
      <c r="D19" s="81">
        <v>3975</v>
      </c>
      <c r="E19" s="81" t="s">
        <v>0</v>
      </c>
      <c r="F19" s="81">
        <v>15800</v>
      </c>
      <c r="G19" s="81">
        <v>0</v>
      </c>
      <c r="H19" s="81">
        <f>SUM(F19:G19)</f>
        <v>15800</v>
      </c>
    </row>
    <row r="20" spans="1:21" x14ac:dyDescent="0.25">
      <c r="A20" s="81">
        <v>20</v>
      </c>
      <c r="B20" s="81" t="s">
        <v>431</v>
      </c>
      <c r="C20" s="81"/>
      <c r="D20" s="81">
        <v>3937</v>
      </c>
      <c r="E20" s="81" t="s">
        <v>0</v>
      </c>
      <c r="F20" s="81">
        <v>15300</v>
      </c>
      <c r="G20" s="81">
        <v>0</v>
      </c>
      <c r="H20" s="81">
        <f>SUM(F20:G20)</f>
        <v>15300</v>
      </c>
    </row>
    <row r="21" spans="1:21" x14ac:dyDescent="0.25">
      <c r="A21" s="81">
        <v>21</v>
      </c>
      <c r="B21" s="81" t="s">
        <v>609</v>
      </c>
      <c r="C21" s="81"/>
      <c r="D21" s="81">
        <v>4157</v>
      </c>
      <c r="E21" s="81"/>
      <c r="F21" s="81">
        <v>9000</v>
      </c>
      <c r="G21" s="81">
        <v>5500</v>
      </c>
      <c r="H21" s="81">
        <v>14500</v>
      </c>
    </row>
    <row r="22" spans="1:21" x14ac:dyDescent="0.25">
      <c r="A22" s="81">
        <v>22</v>
      </c>
      <c r="B22" s="81" t="s">
        <v>434</v>
      </c>
      <c r="C22" s="81"/>
      <c r="D22" s="81">
        <v>3979</v>
      </c>
      <c r="E22" s="81"/>
      <c r="F22" s="81">
        <v>9000</v>
      </c>
      <c r="G22" s="81">
        <v>5000</v>
      </c>
      <c r="H22" s="81">
        <f>SUM(F22:G22)</f>
        <v>14000</v>
      </c>
      <c r="I22" t="s">
        <v>233</v>
      </c>
    </row>
    <row r="23" spans="1:21" x14ac:dyDescent="0.25">
      <c r="A23" s="81">
        <v>23</v>
      </c>
      <c r="B23" s="81" t="s">
        <v>335</v>
      </c>
      <c r="C23" s="81"/>
      <c r="D23" s="81">
        <v>3901</v>
      </c>
      <c r="E23" s="81" t="s">
        <v>0</v>
      </c>
      <c r="F23" s="81">
        <v>13000</v>
      </c>
      <c r="G23" s="81">
        <v>0</v>
      </c>
      <c r="H23" s="81">
        <f>SUM(F23:G23)</f>
        <v>13000</v>
      </c>
    </row>
    <row r="24" spans="1:21" x14ac:dyDescent="0.25">
      <c r="A24" s="81">
        <v>24</v>
      </c>
      <c r="B24" s="81" t="s">
        <v>637</v>
      </c>
      <c r="C24" s="81"/>
      <c r="D24" s="81">
        <v>4199</v>
      </c>
      <c r="E24" s="81"/>
      <c r="F24" s="81">
        <v>9000</v>
      </c>
      <c r="G24" s="81">
        <v>3600</v>
      </c>
      <c r="H24" s="81">
        <v>12600</v>
      </c>
    </row>
    <row r="25" spans="1:21" x14ac:dyDescent="0.25">
      <c r="A25" s="81">
        <v>25</v>
      </c>
      <c r="B25" s="81" t="s">
        <v>636</v>
      </c>
      <c r="C25" s="81"/>
      <c r="D25" s="81">
        <v>4198</v>
      </c>
      <c r="E25" s="81"/>
      <c r="F25" s="81">
        <v>9000</v>
      </c>
      <c r="G25" s="81">
        <v>2400</v>
      </c>
      <c r="H25" s="81">
        <v>11400</v>
      </c>
    </row>
    <row r="26" spans="1:21" x14ac:dyDescent="0.25">
      <c r="A26" s="81">
        <v>26</v>
      </c>
      <c r="B26" s="81" t="s">
        <v>430</v>
      </c>
      <c r="C26" s="81"/>
      <c r="D26" s="81">
        <v>3883</v>
      </c>
      <c r="E26" s="81" t="s">
        <v>0</v>
      </c>
      <c r="F26" s="81">
        <v>10400</v>
      </c>
      <c r="G26" s="81">
        <v>0</v>
      </c>
      <c r="H26" s="81">
        <f>SUM(F26:G26)</f>
        <v>10400</v>
      </c>
    </row>
    <row r="27" spans="1:21" x14ac:dyDescent="0.25">
      <c r="A27" s="81">
        <v>27</v>
      </c>
      <c r="B27" s="81" t="s">
        <v>639</v>
      </c>
      <c r="C27" s="81"/>
      <c r="D27" s="81">
        <v>4201</v>
      </c>
      <c r="E27" s="81"/>
      <c r="F27" s="81">
        <v>9000</v>
      </c>
      <c r="G27" s="81">
        <v>0</v>
      </c>
      <c r="H27" s="81">
        <v>9000</v>
      </c>
    </row>
    <row r="28" spans="1:21" x14ac:dyDescent="0.25">
      <c r="A28" s="81">
        <v>28</v>
      </c>
      <c r="B28" s="81" t="s">
        <v>538</v>
      </c>
      <c r="C28" s="81"/>
      <c r="D28" s="81">
        <v>3893</v>
      </c>
      <c r="E28" s="81"/>
      <c r="F28" s="81">
        <v>7000</v>
      </c>
      <c r="G28" s="81">
        <v>0</v>
      </c>
      <c r="H28" s="81">
        <v>7000</v>
      </c>
    </row>
    <row r="29" spans="1:21" x14ac:dyDescent="0.25">
      <c r="A29" s="81">
        <v>29</v>
      </c>
      <c r="B29" s="81" t="s">
        <v>435</v>
      </c>
      <c r="C29" s="81"/>
      <c r="D29" s="81">
        <v>3920</v>
      </c>
      <c r="E29" s="81" t="s">
        <v>0</v>
      </c>
      <c r="F29" s="82">
        <v>5610</v>
      </c>
      <c r="G29" s="81">
        <v>0</v>
      </c>
      <c r="H29" s="81">
        <f>SUM(F29:G29)</f>
        <v>5610</v>
      </c>
    </row>
    <row r="30" spans="1:21" x14ac:dyDescent="0.25">
      <c r="A30" s="81">
        <v>30</v>
      </c>
      <c r="B30" s="81" t="s">
        <v>629</v>
      </c>
      <c r="C30" s="81"/>
      <c r="D30" s="81">
        <v>3802</v>
      </c>
      <c r="E30" s="81" t="s">
        <v>0</v>
      </c>
      <c r="F30" s="81">
        <v>5000</v>
      </c>
      <c r="G30" s="81">
        <v>0</v>
      </c>
      <c r="H30" s="81">
        <v>5000</v>
      </c>
    </row>
    <row r="31" spans="1:21" x14ac:dyDescent="0.25">
      <c r="A31" s="81">
        <v>31</v>
      </c>
      <c r="B31" s="81" t="s">
        <v>424</v>
      </c>
      <c r="C31" s="81"/>
      <c r="D31" s="81">
        <v>3945</v>
      </c>
      <c r="E31" s="81"/>
      <c r="F31" s="81">
        <v>2700</v>
      </c>
      <c r="G31" s="81">
        <v>0</v>
      </c>
      <c r="H31" s="81">
        <f>SUM(F31:G31)</f>
        <v>2700</v>
      </c>
    </row>
    <row r="32" spans="1:21" x14ac:dyDescent="0.25">
      <c r="A32" s="81">
        <v>32</v>
      </c>
      <c r="B32" s="81" t="s">
        <v>422</v>
      </c>
      <c r="C32" s="81"/>
      <c r="D32" s="81">
        <v>3959</v>
      </c>
      <c r="E32" s="81"/>
      <c r="F32" s="81">
        <v>2200</v>
      </c>
      <c r="G32" s="81">
        <v>0</v>
      </c>
      <c r="H32" s="81">
        <f>SUM(F32:G32)</f>
        <v>2200</v>
      </c>
    </row>
    <row r="33" spans="1:8" x14ac:dyDescent="0.25">
      <c r="A33" s="81">
        <v>33</v>
      </c>
      <c r="B33" s="81" t="s">
        <v>638</v>
      </c>
      <c r="C33" s="81"/>
      <c r="D33" s="81">
        <v>4196</v>
      </c>
      <c r="E33" s="81"/>
      <c r="F33" s="81">
        <v>1000</v>
      </c>
      <c r="G33" s="81">
        <v>0</v>
      </c>
      <c r="H33" s="81">
        <v>1000</v>
      </c>
    </row>
    <row r="34" spans="1:8" x14ac:dyDescent="0.25">
      <c r="A34" s="81">
        <v>34</v>
      </c>
      <c r="B34" s="81" t="s">
        <v>432</v>
      </c>
      <c r="C34" s="81"/>
      <c r="D34" s="81">
        <v>3899</v>
      </c>
      <c r="E34" s="81" t="s">
        <v>0</v>
      </c>
      <c r="F34" s="81">
        <v>0</v>
      </c>
      <c r="G34" s="81">
        <v>0</v>
      </c>
      <c r="H34" s="81">
        <f>SUM(F34:G34)</f>
        <v>0</v>
      </c>
    </row>
    <row r="35" spans="1:8" x14ac:dyDescent="0.25">
      <c r="A35" s="81">
        <v>36</v>
      </c>
      <c r="B35" s="81" t="s">
        <v>426</v>
      </c>
      <c r="C35" s="81"/>
      <c r="D35" s="81">
        <v>3935</v>
      </c>
      <c r="E35" s="81" t="s">
        <v>0</v>
      </c>
      <c r="F35" s="81">
        <v>0</v>
      </c>
      <c r="G35" s="81">
        <v>0</v>
      </c>
      <c r="H35" s="81">
        <f>SUM(F35:G35)</f>
        <v>0</v>
      </c>
    </row>
    <row r="36" spans="1:8" x14ac:dyDescent="0.25">
      <c r="A36" s="81">
        <v>37</v>
      </c>
      <c r="B36" s="81" t="s">
        <v>429</v>
      </c>
      <c r="C36" s="81"/>
      <c r="D36" s="81">
        <v>3948</v>
      </c>
      <c r="E36" s="81"/>
      <c r="F36" s="81">
        <v>0</v>
      </c>
      <c r="G36" s="81">
        <v>0</v>
      </c>
      <c r="H36" s="81">
        <f>SUM(F36:G36)</f>
        <v>0</v>
      </c>
    </row>
    <row r="37" spans="1:8" x14ac:dyDescent="0.25">
      <c r="A37" s="81">
        <v>38</v>
      </c>
      <c r="B37" s="81" t="s">
        <v>418</v>
      </c>
      <c r="C37" s="81"/>
      <c r="D37" s="81">
        <v>3916</v>
      </c>
      <c r="E37" s="81" t="s">
        <v>0</v>
      </c>
      <c r="F37" s="81">
        <v>0</v>
      </c>
      <c r="G37" s="81">
        <v>0</v>
      </c>
      <c r="H37" s="81">
        <f>SUM(F37:G37)</f>
        <v>0</v>
      </c>
    </row>
    <row r="38" spans="1:8" x14ac:dyDescent="0.25">
      <c r="A38" s="81">
        <v>39</v>
      </c>
      <c r="B38" s="81" t="s">
        <v>541</v>
      </c>
      <c r="C38" s="81"/>
      <c r="D38" s="81">
        <v>4076</v>
      </c>
      <c r="E38" s="81"/>
      <c r="F38" s="81">
        <v>0</v>
      </c>
      <c r="G38" s="81">
        <v>0</v>
      </c>
      <c r="H38" s="81">
        <f>SUM(F38:G38)</f>
        <v>0</v>
      </c>
    </row>
    <row r="39" spans="1:8" x14ac:dyDescent="0.25">
      <c r="A39" s="81">
        <v>40</v>
      </c>
      <c r="B39" s="81" t="s">
        <v>532</v>
      </c>
      <c r="C39" s="81"/>
      <c r="D39" s="81">
        <v>3785</v>
      </c>
      <c r="E39" s="81"/>
      <c r="F39" s="81">
        <v>0</v>
      </c>
      <c r="G39" s="81">
        <v>0</v>
      </c>
      <c r="H39" s="81">
        <v>0</v>
      </c>
    </row>
    <row r="40" spans="1:8" x14ac:dyDescent="0.25">
      <c r="A40" s="81"/>
      <c r="B40" s="81" t="s">
        <v>57</v>
      </c>
      <c r="C40" s="81"/>
      <c r="D40" s="81"/>
      <c r="E40" s="81"/>
      <c r="F40" s="81">
        <f>SUM(F3:F39)</f>
        <v>380515</v>
      </c>
      <c r="G40" s="81">
        <f>SUM(G3:G39)</f>
        <v>165310</v>
      </c>
      <c r="H40" s="81">
        <v>755300</v>
      </c>
    </row>
  </sheetData>
  <sortState ref="A3:I41">
    <sortCondition descending="1" ref="H3:H41"/>
  </sortState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N36"/>
  <sheetViews>
    <sheetView workbookViewId="0">
      <selection activeCell="N16" sqref="N16"/>
    </sheetView>
  </sheetViews>
  <sheetFormatPr defaultRowHeight="15" x14ac:dyDescent="0.25"/>
  <cols>
    <col min="1" max="1" width="4.42578125" customWidth="1"/>
    <col min="2" max="2" width="10.7109375" customWidth="1"/>
    <col min="3" max="3" width="17.85546875" customWidth="1"/>
    <col min="4" max="4" width="6" customWidth="1"/>
    <col min="5" max="5" width="7.85546875" customWidth="1"/>
    <col min="7" max="7" width="10" customWidth="1"/>
  </cols>
  <sheetData>
    <row r="1" spans="1:10" s="67" customFormat="1" ht="14.25" x14ac:dyDescent="0.2">
      <c r="A1" s="66" t="s">
        <v>806</v>
      </c>
      <c r="B1" s="66"/>
      <c r="C1" s="66"/>
      <c r="D1" s="66"/>
      <c r="E1" s="66"/>
      <c r="F1" s="66"/>
      <c r="G1" s="66"/>
      <c r="H1" s="66"/>
    </row>
    <row r="2" spans="1:10" s="1" customFormat="1" x14ac:dyDescent="0.25">
      <c r="A2" s="66" t="s">
        <v>437</v>
      </c>
      <c r="B2" s="66" t="s">
        <v>116</v>
      </c>
      <c r="C2" s="66"/>
      <c r="D2" s="66"/>
      <c r="E2" s="66" t="s">
        <v>438</v>
      </c>
      <c r="F2" s="66" t="s">
        <v>114</v>
      </c>
      <c r="G2" s="66" t="s">
        <v>4</v>
      </c>
      <c r="H2" s="66" t="s">
        <v>113</v>
      </c>
    </row>
    <row r="3" spans="1:10" x14ac:dyDescent="0.25">
      <c r="A3" s="81">
        <v>4</v>
      </c>
      <c r="B3" s="81" t="s">
        <v>440</v>
      </c>
      <c r="C3" s="81" t="s">
        <v>268</v>
      </c>
      <c r="D3" s="81" t="s">
        <v>0</v>
      </c>
      <c r="E3" s="81">
        <v>4009</v>
      </c>
      <c r="F3" s="81">
        <v>25000</v>
      </c>
      <c r="G3" s="81">
        <v>37100</v>
      </c>
      <c r="H3" s="81">
        <f t="shared" ref="H3:H21" si="0">SUM(F3:G3)</f>
        <v>62100</v>
      </c>
    </row>
    <row r="4" spans="1:10" x14ac:dyDescent="0.25">
      <c r="A4" s="81">
        <v>30</v>
      </c>
      <c r="B4" s="81" t="s">
        <v>462</v>
      </c>
      <c r="C4" s="81" t="s">
        <v>183</v>
      </c>
      <c r="D4" s="81" t="s">
        <v>0</v>
      </c>
      <c r="E4" s="81">
        <v>4064</v>
      </c>
      <c r="F4" s="81">
        <v>25000</v>
      </c>
      <c r="G4" s="81">
        <v>19500</v>
      </c>
      <c r="H4" s="81">
        <f t="shared" si="0"/>
        <v>44500</v>
      </c>
    </row>
    <row r="5" spans="1:10" x14ac:dyDescent="0.25">
      <c r="A5" s="81">
        <v>38</v>
      </c>
      <c r="B5" s="81" t="s">
        <v>552</v>
      </c>
      <c r="C5" s="81" t="s">
        <v>174</v>
      </c>
      <c r="D5" s="81" t="s">
        <v>0</v>
      </c>
      <c r="E5" s="81">
        <v>4074</v>
      </c>
      <c r="F5" s="81">
        <v>25000</v>
      </c>
      <c r="G5" s="81">
        <v>14000</v>
      </c>
      <c r="H5" s="81">
        <f t="shared" si="0"/>
        <v>39000</v>
      </c>
    </row>
    <row r="6" spans="1:10" x14ac:dyDescent="0.25">
      <c r="A6" s="81">
        <v>11</v>
      </c>
      <c r="B6" s="81" t="s">
        <v>447</v>
      </c>
      <c r="C6" s="81" t="s">
        <v>265</v>
      </c>
      <c r="D6" s="81" t="s">
        <v>0</v>
      </c>
      <c r="E6" s="81">
        <v>4019</v>
      </c>
      <c r="F6" s="81">
        <v>25000</v>
      </c>
      <c r="G6" s="81">
        <v>13500</v>
      </c>
      <c r="H6" s="81">
        <f t="shared" si="0"/>
        <v>38500</v>
      </c>
    </row>
    <row r="7" spans="1:10" x14ac:dyDescent="0.25">
      <c r="A7" s="81">
        <v>22</v>
      </c>
      <c r="B7" s="81" t="s">
        <v>459</v>
      </c>
      <c r="C7" s="81" t="s">
        <v>207</v>
      </c>
      <c r="D7" s="81" t="s">
        <v>0</v>
      </c>
      <c r="E7" s="81">
        <v>4041</v>
      </c>
      <c r="F7" s="81">
        <v>25000</v>
      </c>
      <c r="G7" s="81">
        <v>11700</v>
      </c>
      <c r="H7" s="81">
        <f t="shared" si="0"/>
        <v>36700</v>
      </c>
    </row>
    <row r="8" spans="1:10" x14ac:dyDescent="0.25">
      <c r="A8" s="81">
        <v>12</v>
      </c>
      <c r="B8" s="81" t="s">
        <v>454</v>
      </c>
      <c r="C8" s="81" t="s">
        <v>281</v>
      </c>
      <c r="D8" s="81" t="s">
        <v>0</v>
      </c>
      <c r="E8" s="81">
        <v>3987</v>
      </c>
      <c r="F8" s="81">
        <v>25000</v>
      </c>
      <c r="G8" s="81">
        <v>6800</v>
      </c>
      <c r="H8" s="81">
        <f t="shared" si="0"/>
        <v>31800</v>
      </c>
    </row>
    <row r="9" spans="1:10" x14ac:dyDescent="0.25">
      <c r="A9" s="81">
        <v>42</v>
      </c>
      <c r="B9" s="81" t="s">
        <v>728</v>
      </c>
      <c r="C9" s="81"/>
      <c r="D9" s="81" t="s">
        <v>0</v>
      </c>
      <c r="E9" s="81">
        <v>3908</v>
      </c>
      <c r="F9" s="81">
        <v>25000</v>
      </c>
      <c r="G9" s="81">
        <v>5200</v>
      </c>
      <c r="H9" s="81">
        <f t="shared" si="0"/>
        <v>30200</v>
      </c>
    </row>
    <row r="10" spans="1:10" x14ac:dyDescent="0.25">
      <c r="A10" s="81">
        <v>10</v>
      </c>
      <c r="B10" s="81" t="s">
        <v>444</v>
      </c>
      <c r="C10" s="81" t="s">
        <v>445</v>
      </c>
      <c r="D10" s="81" t="s">
        <v>0</v>
      </c>
      <c r="E10" s="81">
        <v>4073</v>
      </c>
      <c r="F10" s="81">
        <v>25000</v>
      </c>
      <c r="G10" s="81">
        <v>3708</v>
      </c>
      <c r="H10" s="81">
        <f t="shared" si="0"/>
        <v>28708</v>
      </c>
    </row>
    <row r="11" spans="1:10" x14ac:dyDescent="0.25">
      <c r="A11" s="81">
        <v>31</v>
      </c>
      <c r="B11" s="81" t="s">
        <v>463</v>
      </c>
      <c r="C11" s="81" t="s">
        <v>464</v>
      </c>
      <c r="D11" s="81" t="s">
        <v>0</v>
      </c>
      <c r="E11" s="81">
        <v>3992</v>
      </c>
      <c r="F11" s="81">
        <v>25000</v>
      </c>
      <c r="G11" s="81">
        <v>3500</v>
      </c>
      <c r="H11" s="81">
        <f t="shared" si="0"/>
        <v>28500</v>
      </c>
    </row>
    <row r="12" spans="1:10" x14ac:dyDescent="0.25">
      <c r="A12" s="81">
        <v>43</v>
      </c>
      <c r="B12" s="81" t="s">
        <v>716</v>
      </c>
      <c r="C12" s="81"/>
      <c r="D12" s="81" t="s">
        <v>0</v>
      </c>
      <c r="E12" s="81">
        <v>4217</v>
      </c>
      <c r="F12" s="81">
        <v>25000</v>
      </c>
      <c r="G12" s="81">
        <v>2381</v>
      </c>
      <c r="H12" s="81">
        <f t="shared" si="0"/>
        <v>27381</v>
      </c>
    </row>
    <row r="13" spans="1:10" x14ac:dyDescent="0.25">
      <c r="A13" s="81">
        <v>16</v>
      </c>
      <c r="B13" s="81" t="s">
        <v>442</v>
      </c>
      <c r="C13" s="81" t="s">
        <v>217</v>
      </c>
      <c r="D13" s="81" t="s">
        <v>0</v>
      </c>
      <c r="E13" s="81">
        <v>4036</v>
      </c>
      <c r="F13" s="81">
        <v>19500</v>
      </c>
      <c r="G13" s="81"/>
      <c r="H13" s="81">
        <f t="shared" si="0"/>
        <v>19500</v>
      </c>
      <c r="I13" t="s">
        <v>717</v>
      </c>
    </row>
    <row r="14" spans="1:10" x14ac:dyDescent="0.25">
      <c r="A14" s="81">
        <v>24</v>
      </c>
      <c r="B14" s="81" t="s">
        <v>260</v>
      </c>
      <c r="C14" s="81" t="s">
        <v>451</v>
      </c>
      <c r="D14" s="81" t="s">
        <v>0</v>
      </c>
      <c r="E14" s="81">
        <v>4013</v>
      </c>
      <c r="F14" s="81">
        <v>18566</v>
      </c>
      <c r="G14" s="81">
        <v>0</v>
      </c>
      <c r="H14" s="81">
        <f t="shared" si="0"/>
        <v>18566</v>
      </c>
    </row>
    <row r="15" spans="1:10" x14ac:dyDescent="0.25">
      <c r="A15" s="81">
        <v>17</v>
      </c>
      <c r="B15" s="81" t="s">
        <v>452</v>
      </c>
      <c r="C15" s="81" t="s">
        <v>229</v>
      </c>
      <c r="D15" s="81" t="s">
        <v>0</v>
      </c>
      <c r="E15" s="81">
        <v>4025</v>
      </c>
      <c r="F15" s="81">
        <v>17400</v>
      </c>
      <c r="G15" s="81">
        <v>0</v>
      </c>
      <c r="H15" s="81">
        <f t="shared" si="0"/>
        <v>17400</v>
      </c>
    </row>
    <row r="16" spans="1:10" x14ac:dyDescent="0.25">
      <c r="A16" s="81">
        <v>33</v>
      </c>
      <c r="B16" s="81" t="s">
        <v>457</v>
      </c>
      <c r="C16" s="81" t="s">
        <v>212</v>
      </c>
      <c r="D16" s="81" t="s">
        <v>0</v>
      </c>
      <c r="E16" s="81">
        <v>4008</v>
      </c>
      <c r="F16" s="81">
        <v>16372</v>
      </c>
      <c r="G16" s="81">
        <v>0</v>
      </c>
      <c r="H16" s="81">
        <f t="shared" si="0"/>
        <v>16372</v>
      </c>
      <c r="J16" t="s">
        <v>233</v>
      </c>
    </row>
    <row r="17" spans="1:14" x14ac:dyDescent="0.25">
      <c r="A17" s="81">
        <v>13</v>
      </c>
      <c r="B17" s="81" t="s">
        <v>465</v>
      </c>
      <c r="C17" s="81"/>
      <c r="D17" s="81" t="s">
        <v>0</v>
      </c>
      <c r="E17" s="81">
        <v>4045</v>
      </c>
      <c r="F17" s="81">
        <v>14000</v>
      </c>
      <c r="G17" s="81">
        <v>0</v>
      </c>
      <c r="H17" s="81">
        <f t="shared" si="0"/>
        <v>14000</v>
      </c>
    </row>
    <row r="18" spans="1:14" x14ac:dyDescent="0.25">
      <c r="A18" s="81">
        <v>39</v>
      </c>
      <c r="B18" s="81" t="s">
        <v>795</v>
      </c>
      <c r="C18" s="81"/>
      <c r="D18" s="81" t="s">
        <v>0</v>
      </c>
      <c r="E18" s="81">
        <v>4194</v>
      </c>
      <c r="F18" s="81">
        <v>13700</v>
      </c>
      <c r="G18" s="81">
        <v>0</v>
      </c>
      <c r="H18" s="81">
        <f t="shared" si="0"/>
        <v>13700</v>
      </c>
    </row>
    <row r="19" spans="1:14" x14ac:dyDescent="0.25">
      <c r="A19" s="81">
        <v>26</v>
      </c>
      <c r="B19" s="81" t="s">
        <v>448</v>
      </c>
      <c r="C19" s="81"/>
      <c r="D19" s="81" t="s">
        <v>0</v>
      </c>
      <c r="E19" s="81">
        <v>3996</v>
      </c>
      <c r="F19" s="81">
        <v>13650</v>
      </c>
      <c r="G19" s="81">
        <v>0</v>
      </c>
      <c r="H19" s="81">
        <f t="shared" si="0"/>
        <v>13650</v>
      </c>
    </row>
    <row r="20" spans="1:14" x14ac:dyDescent="0.25">
      <c r="A20" s="81">
        <v>24</v>
      </c>
      <c r="B20" s="81" t="s">
        <v>440</v>
      </c>
      <c r="C20" s="81" t="s">
        <v>183</v>
      </c>
      <c r="D20" s="81" t="s">
        <v>0</v>
      </c>
      <c r="E20" s="81">
        <v>3994</v>
      </c>
      <c r="F20" s="81">
        <v>13000</v>
      </c>
      <c r="G20" s="81">
        <v>0</v>
      </c>
      <c r="H20" s="81">
        <f t="shared" si="0"/>
        <v>13000</v>
      </c>
    </row>
    <row r="21" spans="1:14" x14ac:dyDescent="0.25">
      <c r="A21" s="81">
        <v>21</v>
      </c>
      <c r="B21" s="81" t="s">
        <v>446</v>
      </c>
      <c r="C21" s="81" t="s">
        <v>265</v>
      </c>
      <c r="D21" s="81" t="s">
        <v>0</v>
      </c>
      <c r="E21" s="81">
        <v>4005</v>
      </c>
      <c r="F21" s="81">
        <v>9570</v>
      </c>
      <c r="G21" s="81">
        <v>0</v>
      </c>
      <c r="H21" s="81">
        <f t="shared" si="0"/>
        <v>9570</v>
      </c>
      <c r="L21" t="s">
        <v>633</v>
      </c>
    </row>
    <row r="22" spans="1:14" x14ac:dyDescent="0.25">
      <c r="A22" s="81">
        <v>40</v>
      </c>
      <c r="B22" s="81" t="s">
        <v>641</v>
      </c>
      <c r="C22" s="81" t="s">
        <v>642</v>
      </c>
      <c r="D22" s="81" t="s">
        <v>0</v>
      </c>
      <c r="E22" s="81">
        <v>4202</v>
      </c>
      <c r="F22" s="81">
        <v>10000</v>
      </c>
      <c r="G22" s="81">
        <v>0</v>
      </c>
      <c r="H22" s="81">
        <v>10000</v>
      </c>
      <c r="N22" t="s">
        <v>554</v>
      </c>
    </row>
    <row r="23" spans="1:14" x14ac:dyDescent="0.25">
      <c r="A23" s="81">
        <v>20</v>
      </c>
      <c r="B23" s="81" t="s">
        <v>458</v>
      </c>
      <c r="C23" s="81" t="s">
        <v>265</v>
      </c>
      <c r="D23" s="81" t="s">
        <v>0</v>
      </c>
      <c r="E23" s="81">
        <v>4011</v>
      </c>
      <c r="F23" s="81">
        <v>9250</v>
      </c>
      <c r="G23" s="81">
        <v>0</v>
      </c>
      <c r="H23" s="81">
        <f t="shared" ref="H23:H35" si="1">SUM(F23:G23)</f>
        <v>9250</v>
      </c>
    </row>
    <row r="24" spans="1:14" x14ac:dyDescent="0.25">
      <c r="A24" s="81">
        <v>18</v>
      </c>
      <c r="B24" s="81" t="s">
        <v>455</v>
      </c>
      <c r="C24" s="81" t="s">
        <v>456</v>
      </c>
      <c r="D24" s="81" t="s">
        <v>0</v>
      </c>
      <c r="E24" s="81">
        <v>4034</v>
      </c>
      <c r="F24" s="81">
        <v>9000</v>
      </c>
      <c r="G24" s="81">
        <v>0</v>
      </c>
      <c r="H24" s="81">
        <f t="shared" si="1"/>
        <v>9000</v>
      </c>
    </row>
    <row r="25" spans="1:14" x14ac:dyDescent="0.25">
      <c r="A25" s="81">
        <v>35</v>
      </c>
      <c r="B25" s="81" t="s">
        <v>189</v>
      </c>
      <c r="C25" s="81" t="s">
        <v>453</v>
      </c>
      <c r="D25" s="81" t="s">
        <v>0</v>
      </c>
      <c r="E25" s="81">
        <v>4066</v>
      </c>
      <c r="F25" s="81">
        <v>6070</v>
      </c>
      <c r="G25" s="81">
        <v>0</v>
      </c>
      <c r="H25" s="81">
        <f t="shared" si="1"/>
        <v>6070</v>
      </c>
    </row>
    <row r="26" spans="1:14" x14ac:dyDescent="0.25">
      <c r="A26" s="81">
        <v>32</v>
      </c>
      <c r="B26" s="81" t="s">
        <v>460</v>
      </c>
      <c r="C26" s="81" t="s">
        <v>461</v>
      </c>
      <c r="D26" s="81" t="s">
        <v>0</v>
      </c>
      <c r="E26" s="81">
        <v>3998</v>
      </c>
      <c r="F26" s="81">
        <v>900</v>
      </c>
      <c r="G26" s="81">
        <v>0</v>
      </c>
      <c r="H26" s="81">
        <f t="shared" si="1"/>
        <v>900</v>
      </c>
    </row>
    <row r="27" spans="1:14" x14ac:dyDescent="0.25">
      <c r="A27" s="81">
        <v>41</v>
      </c>
      <c r="B27" s="81" t="s">
        <v>669</v>
      </c>
      <c r="C27" s="81"/>
      <c r="D27" s="81" t="s">
        <v>0</v>
      </c>
      <c r="E27" s="81">
        <v>4234</v>
      </c>
      <c r="F27" s="81">
        <v>3000</v>
      </c>
      <c r="G27" s="81">
        <v>0</v>
      </c>
      <c r="H27" s="81">
        <f t="shared" si="1"/>
        <v>3000</v>
      </c>
    </row>
    <row r="28" spans="1:14" x14ac:dyDescent="0.25">
      <c r="A28" s="81">
        <v>19</v>
      </c>
      <c r="B28" s="81" t="s">
        <v>443</v>
      </c>
      <c r="C28" s="81" t="s">
        <v>450</v>
      </c>
      <c r="D28" s="81" t="s">
        <v>0</v>
      </c>
      <c r="E28" s="81">
        <v>4043</v>
      </c>
      <c r="F28" s="81">
        <v>2000</v>
      </c>
      <c r="G28" s="81">
        <v>0</v>
      </c>
      <c r="H28" s="81">
        <f t="shared" si="1"/>
        <v>2000</v>
      </c>
    </row>
    <row r="29" spans="1:14" x14ac:dyDescent="0.25">
      <c r="A29" s="81">
        <v>34</v>
      </c>
      <c r="B29" s="81" t="s">
        <v>449</v>
      </c>
      <c r="C29" s="81" t="s">
        <v>199</v>
      </c>
      <c r="D29" s="81" t="s">
        <v>0</v>
      </c>
      <c r="E29" s="81">
        <v>4053</v>
      </c>
      <c r="F29" s="81">
        <v>2000</v>
      </c>
      <c r="G29" s="81">
        <v>0</v>
      </c>
      <c r="H29" s="81">
        <f t="shared" si="1"/>
        <v>2000</v>
      </c>
    </row>
    <row r="30" spans="1:14" x14ac:dyDescent="0.25">
      <c r="A30" s="81">
        <v>27</v>
      </c>
      <c r="B30" s="81" t="s">
        <v>193</v>
      </c>
      <c r="C30" s="81" t="s">
        <v>212</v>
      </c>
      <c r="D30" s="81" t="s">
        <v>0</v>
      </c>
      <c r="E30" s="81">
        <v>4017</v>
      </c>
      <c r="F30" s="81">
        <v>0</v>
      </c>
      <c r="G30" s="81">
        <v>0</v>
      </c>
      <c r="H30" s="81">
        <f t="shared" si="1"/>
        <v>0</v>
      </c>
    </row>
    <row r="31" spans="1:14" x14ac:dyDescent="0.25">
      <c r="A31" s="81">
        <v>43</v>
      </c>
      <c r="B31" s="81" t="s">
        <v>727</v>
      </c>
      <c r="C31" s="81"/>
      <c r="D31" s="81" t="s">
        <v>0</v>
      </c>
      <c r="E31" s="81">
        <v>3932</v>
      </c>
      <c r="F31" s="81">
        <v>0</v>
      </c>
      <c r="G31" s="81">
        <v>0</v>
      </c>
      <c r="H31" s="81">
        <f t="shared" si="1"/>
        <v>0</v>
      </c>
    </row>
    <row r="32" spans="1:14" x14ac:dyDescent="0.25">
      <c r="A32" s="81">
        <v>14</v>
      </c>
      <c r="B32" s="81" t="s">
        <v>267</v>
      </c>
      <c r="C32" s="81" t="s">
        <v>199</v>
      </c>
      <c r="D32" s="81" t="s">
        <v>0</v>
      </c>
      <c r="E32" s="81">
        <v>4047</v>
      </c>
      <c r="F32" s="81">
        <v>0</v>
      </c>
      <c r="G32" s="81">
        <v>0</v>
      </c>
      <c r="H32" s="81">
        <f t="shared" si="1"/>
        <v>0</v>
      </c>
    </row>
    <row r="33" spans="1:8" x14ac:dyDescent="0.25">
      <c r="A33" s="81">
        <v>36</v>
      </c>
      <c r="B33" s="81" t="s">
        <v>466</v>
      </c>
      <c r="C33" s="81" t="s">
        <v>467</v>
      </c>
      <c r="D33" s="81" t="s">
        <v>0</v>
      </c>
      <c r="E33" s="81">
        <v>4015</v>
      </c>
      <c r="F33" s="81">
        <v>0</v>
      </c>
      <c r="G33" s="81">
        <v>0</v>
      </c>
      <c r="H33" s="81">
        <f t="shared" si="1"/>
        <v>0</v>
      </c>
    </row>
    <row r="34" spans="1:8" x14ac:dyDescent="0.25">
      <c r="A34" s="81">
        <v>45</v>
      </c>
      <c r="B34" s="81" t="s">
        <v>790</v>
      </c>
      <c r="C34" s="81"/>
      <c r="D34" s="81" t="s">
        <v>0</v>
      </c>
      <c r="E34" s="81">
        <v>4359</v>
      </c>
      <c r="F34" s="81">
        <v>0</v>
      </c>
      <c r="G34" s="81">
        <v>0</v>
      </c>
      <c r="H34" s="81">
        <f t="shared" si="1"/>
        <v>0</v>
      </c>
    </row>
    <row r="35" spans="1:8" x14ac:dyDescent="0.25">
      <c r="A35" s="81">
        <v>44</v>
      </c>
      <c r="B35" s="81" t="s">
        <v>432</v>
      </c>
      <c r="C35" s="81"/>
      <c r="D35" s="81" t="s">
        <v>0</v>
      </c>
      <c r="E35" s="81">
        <v>3899</v>
      </c>
      <c r="F35" s="81">
        <v>0</v>
      </c>
      <c r="G35" s="81">
        <v>0</v>
      </c>
      <c r="H35" s="81">
        <f t="shared" si="1"/>
        <v>0</v>
      </c>
    </row>
    <row r="36" spans="1:8" x14ac:dyDescent="0.25">
      <c r="A36" s="40"/>
      <c r="B36" s="40" t="s">
        <v>57</v>
      </c>
      <c r="C36" s="40"/>
      <c r="D36" s="40"/>
      <c r="E36" s="40"/>
      <c r="F36" s="40">
        <f>SUM(F3:F35)</f>
        <v>427978</v>
      </c>
      <c r="G36" s="40">
        <f>SUM(G3:G35)</f>
        <v>117389</v>
      </c>
      <c r="H36" s="40">
        <v>690550</v>
      </c>
    </row>
  </sheetData>
  <sortState ref="A3:I36">
    <sortCondition descending="1" ref="H3:H36"/>
  </sortState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R34"/>
  <sheetViews>
    <sheetView workbookViewId="0">
      <selection activeCell="L32" sqref="L32"/>
    </sheetView>
  </sheetViews>
  <sheetFormatPr defaultRowHeight="15" x14ac:dyDescent="0.25"/>
  <cols>
    <col min="1" max="1" width="6.28515625" customWidth="1"/>
    <col min="2" max="2" width="11.28515625" customWidth="1"/>
    <col min="3" max="3" width="15.7109375" customWidth="1"/>
    <col min="4" max="4" width="5.5703125" customWidth="1"/>
    <col min="7" max="7" width="10.5703125" customWidth="1"/>
    <col min="9" max="9" width="12.28515625" customWidth="1"/>
  </cols>
  <sheetData>
    <row r="1" spans="1:9" s="67" customFormat="1" ht="14.25" x14ac:dyDescent="0.2">
      <c r="A1" s="66" t="s">
        <v>2</v>
      </c>
      <c r="B1" s="66" t="s">
        <v>807</v>
      </c>
      <c r="C1" s="66"/>
      <c r="D1" s="66"/>
      <c r="E1" s="66"/>
      <c r="F1" s="66"/>
      <c r="G1" s="66"/>
    </row>
    <row r="2" spans="1:9" s="1" customFormat="1" x14ac:dyDescent="0.25">
      <c r="A2" s="66" t="s">
        <v>413</v>
      </c>
      <c r="B2" s="66" t="s">
        <v>116</v>
      </c>
      <c r="C2" s="66"/>
      <c r="D2" s="66"/>
      <c r="E2" s="66" t="s">
        <v>284</v>
      </c>
      <c r="F2" s="66" t="s">
        <v>114</v>
      </c>
      <c r="G2" s="66" t="s">
        <v>4</v>
      </c>
      <c r="H2" s="66" t="s">
        <v>113</v>
      </c>
      <c r="I2" s="66" t="s">
        <v>888</v>
      </c>
    </row>
    <row r="3" spans="1:9" x14ac:dyDescent="0.25">
      <c r="A3" s="81">
        <v>12</v>
      </c>
      <c r="B3" s="81" t="s">
        <v>475</v>
      </c>
      <c r="C3" s="81" t="s">
        <v>183</v>
      </c>
      <c r="D3" s="81" t="s">
        <v>0</v>
      </c>
      <c r="E3" s="81">
        <v>4046</v>
      </c>
      <c r="F3" s="81">
        <v>25000</v>
      </c>
      <c r="G3" s="81">
        <v>16360</v>
      </c>
      <c r="H3" s="40">
        <f t="shared" ref="H3:H34" si="0">SUM(F3:G3)</f>
        <v>41360</v>
      </c>
      <c r="I3" s="82">
        <v>3000</v>
      </c>
    </row>
    <row r="4" spans="1:9" x14ac:dyDescent="0.25">
      <c r="A4" s="81">
        <v>39</v>
      </c>
      <c r="B4" s="81" t="s">
        <v>567</v>
      </c>
      <c r="C4" s="81" t="s">
        <v>199</v>
      </c>
      <c r="D4" s="81" t="s">
        <v>0</v>
      </c>
      <c r="E4" s="81">
        <v>4087</v>
      </c>
      <c r="F4" s="81">
        <v>25000</v>
      </c>
      <c r="G4" s="81">
        <v>15150</v>
      </c>
      <c r="H4" s="40">
        <f t="shared" si="0"/>
        <v>40150</v>
      </c>
      <c r="I4" s="82">
        <v>3000</v>
      </c>
    </row>
    <row r="5" spans="1:9" x14ac:dyDescent="0.25">
      <c r="A5" s="81">
        <v>28</v>
      </c>
      <c r="B5" s="81" t="s">
        <v>479</v>
      </c>
      <c r="C5" s="81" t="s">
        <v>480</v>
      </c>
      <c r="D5" s="81" t="s">
        <v>0</v>
      </c>
      <c r="E5" s="81">
        <v>4048</v>
      </c>
      <c r="F5" s="81">
        <v>25000</v>
      </c>
      <c r="G5" s="81">
        <v>14000</v>
      </c>
      <c r="H5" s="40">
        <f t="shared" si="0"/>
        <v>39000</v>
      </c>
      <c r="I5" s="82">
        <v>3000</v>
      </c>
    </row>
    <row r="6" spans="1:9" x14ac:dyDescent="0.25">
      <c r="A6" s="81">
        <v>6</v>
      </c>
      <c r="B6" s="81" t="s">
        <v>469</v>
      </c>
      <c r="C6" s="81" t="s">
        <v>183</v>
      </c>
      <c r="D6" s="81" t="s">
        <v>0</v>
      </c>
      <c r="E6" s="81">
        <v>4022</v>
      </c>
      <c r="F6" s="81">
        <v>25000</v>
      </c>
      <c r="G6" s="81">
        <v>12800</v>
      </c>
      <c r="H6" s="40">
        <f t="shared" si="0"/>
        <v>37800</v>
      </c>
      <c r="I6" s="82">
        <v>3000</v>
      </c>
    </row>
    <row r="7" spans="1:9" x14ac:dyDescent="0.25">
      <c r="A7" s="81">
        <v>34</v>
      </c>
      <c r="B7" s="81" t="s">
        <v>488</v>
      </c>
      <c r="C7" s="81" t="s">
        <v>489</v>
      </c>
      <c r="D7" s="81" t="s">
        <v>0</v>
      </c>
      <c r="E7" s="81">
        <v>4035</v>
      </c>
      <c r="F7" s="81">
        <v>25000</v>
      </c>
      <c r="G7" s="81">
        <v>11400</v>
      </c>
      <c r="H7" s="40">
        <f t="shared" si="0"/>
        <v>36400</v>
      </c>
      <c r="I7" s="82">
        <v>3000</v>
      </c>
    </row>
    <row r="8" spans="1:9" x14ac:dyDescent="0.25">
      <c r="A8" s="81">
        <v>15</v>
      </c>
      <c r="B8" s="81" t="s">
        <v>473</v>
      </c>
      <c r="C8" s="81" t="s">
        <v>474</v>
      </c>
      <c r="D8" s="81" t="s">
        <v>0</v>
      </c>
      <c r="E8" s="81">
        <v>4001</v>
      </c>
      <c r="F8" s="81">
        <v>25000</v>
      </c>
      <c r="G8" s="81">
        <v>9000</v>
      </c>
      <c r="H8" s="40">
        <f t="shared" si="0"/>
        <v>34000</v>
      </c>
      <c r="I8" s="82">
        <v>3000</v>
      </c>
    </row>
    <row r="9" spans="1:9" x14ac:dyDescent="0.25">
      <c r="A9" s="81">
        <v>25</v>
      </c>
      <c r="B9" s="81" t="s">
        <v>476</v>
      </c>
      <c r="C9" s="81" t="s">
        <v>199</v>
      </c>
      <c r="D9" s="81" t="s">
        <v>0</v>
      </c>
      <c r="E9" s="81">
        <v>4032</v>
      </c>
      <c r="F9" s="81">
        <v>25000</v>
      </c>
      <c r="G9" s="81">
        <v>6810</v>
      </c>
      <c r="H9" s="40">
        <f t="shared" si="0"/>
        <v>31810</v>
      </c>
      <c r="I9" s="82">
        <v>3000</v>
      </c>
    </row>
    <row r="10" spans="1:9" x14ac:dyDescent="0.25">
      <c r="A10" s="81">
        <v>33</v>
      </c>
      <c r="B10" s="81" t="s">
        <v>186</v>
      </c>
      <c r="C10" s="81" t="s">
        <v>268</v>
      </c>
      <c r="D10" s="81" t="s">
        <v>0</v>
      </c>
      <c r="E10" s="81">
        <v>3995</v>
      </c>
      <c r="F10" s="81">
        <v>25000</v>
      </c>
      <c r="G10" s="81">
        <v>3790</v>
      </c>
      <c r="H10" s="40">
        <f t="shared" si="0"/>
        <v>28790</v>
      </c>
      <c r="I10" s="82">
        <v>3000</v>
      </c>
    </row>
    <row r="11" spans="1:9" x14ac:dyDescent="0.25">
      <c r="A11" s="81">
        <v>19</v>
      </c>
      <c r="B11" s="81" t="s">
        <v>443</v>
      </c>
      <c r="C11" s="81" t="s">
        <v>482</v>
      </c>
      <c r="D11" s="81" t="s">
        <v>0</v>
      </c>
      <c r="E11" s="81">
        <v>4004</v>
      </c>
      <c r="F11" s="81">
        <v>25000</v>
      </c>
      <c r="G11" s="81">
        <v>3500</v>
      </c>
      <c r="H11" s="40">
        <f t="shared" si="0"/>
        <v>28500</v>
      </c>
      <c r="I11" s="82">
        <v>3000</v>
      </c>
    </row>
    <row r="12" spans="1:9" x14ac:dyDescent="0.25">
      <c r="A12" s="81">
        <v>16</v>
      </c>
      <c r="B12" s="81" t="s">
        <v>484</v>
      </c>
      <c r="C12" s="81" t="s">
        <v>485</v>
      </c>
      <c r="D12" s="81" t="s">
        <v>0</v>
      </c>
      <c r="E12" s="81">
        <v>3986</v>
      </c>
      <c r="F12" s="81">
        <v>25000</v>
      </c>
      <c r="G12" s="81">
        <v>1780</v>
      </c>
      <c r="H12" s="40">
        <f t="shared" si="0"/>
        <v>26780</v>
      </c>
      <c r="I12" s="82">
        <v>3000</v>
      </c>
    </row>
    <row r="13" spans="1:9" x14ac:dyDescent="0.25">
      <c r="A13" s="81">
        <v>48</v>
      </c>
      <c r="B13" s="81" t="s">
        <v>788</v>
      </c>
      <c r="C13" s="81"/>
      <c r="D13" s="81" t="s">
        <v>0</v>
      </c>
      <c r="E13" s="81">
        <v>4381</v>
      </c>
      <c r="F13" s="81">
        <v>19200</v>
      </c>
      <c r="G13" s="81">
        <v>0</v>
      </c>
      <c r="H13" s="40">
        <f t="shared" si="0"/>
        <v>19200</v>
      </c>
      <c r="I13" s="82">
        <v>3000</v>
      </c>
    </row>
    <row r="14" spans="1:9" x14ac:dyDescent="0.25">
      <c r="A14" s="81">
        <v>29</v>
      </c>
      <c r="B14" s="81" t="s">
        <v>481</v>
      </c>
      <c r="C14" s="81" t="s">
        <v>265</v>
      </c>
      <c r="D14" s="81" t="s">
        <v>0</v>
      </c>
      <c r="E14" s="81">
        <v>4018</v>
      </c>
      <c r="F14" s="81">
        <v>15800</v>
      </c>
      <c r="G14" s="81">
        <v>0</v>
      </c>
      <c r="H14" s="40">
        <f t="shared" si="0"/>
        <v>15800</v>
      </c>
      <c r="I14" s="82">
        <v>3000</v>
      </c>
    </row>
    <row r="15" spans="1:9" x14ac:dyDescent="0.25">
      <c r="A15" s="81">
        <v>2</v>
      </c>
      <c r="B15" s="81" t="s">
        <v>468</v>
      </c>
      <c r="C15" s="81" t="s">
        <v>265</v>
      </c>
      <c r="D15" s="81" t="s">
        <v>0</v>
      </c>
      <c r="E15" s="81">
        <v>4042</v>
      </c>
      <c r="F15" s="81">
        <v>15680</v>
      </c>
      <c r="G15" s="81">
        <v>0</v>
      </c>
      <c r="H15" s="40">
        <f t="shared" si="0"/>
        <v>15680</v>
      </c>
      <c r="I15" s="82">
        <v>3000</v>
      </c>
    </row>
    <row r="16" spans="1:9" x14ac:dyDescent="0.25">
      <c r="A16" s="81">
        <v>47</v>
      </c>
      <c r="B16" s="81" t="s">
        <v>786</v>
      </c>
      <c r="C16" s="81"/>
      <c r="D16" s="81" t="s">
        <v>0</v>
      </c>
      <c r="E16" s="81">
        <v>4380</v>
      </c>
      <c r="F16" s="81">
        <v>14000</v>
      </c>
      <c r="G16" s="81">
        <v>0</v>
      </c>
      <c r="H16" s="40">
        <f t="shared" si="0"/>
        <v>14000</v>
      </c>
      <c r="I16" s="82">
        <v>3000</v>
      </c>
    </row>
    <row r="17" spans="1:18" x14ac:dyDescent="0.25">
      <c r="A17" s="81">
        <v>31</v>
      </c>
      <c r="B17" s="81" t="s">
        <v>487</v>
      </c>
      <c r="C17" s="81" t="s">
        <v>174</v>
      </c>
      <c r="D17" s="81" t="s">
        <v>0</v>
      </c>
      <c r="E17" s="81">
        <v>3991</v>
      </c>
      <c r="F17" s="81">
        <v>13000</v>
      </c>
      <c r="G17" s="81">
        <v>0</v>
      </c>
      <c r="H17" s="40">
        <f t="shared" si="0"/>
        <v>13000</v>
      </c>
      <c r="I17" s="82">
        <v>3000</v>
      </c>
      <c r="K17" s="65" t="s">
        <v>543</v>
      </c>
      <c r="L17" t="s">
        <v>723</v>
      </c>
    </row>
    <row r="18" spans="1:18" x14ac:dyDescent="0.25">
      <c r="A18" s="81">
        <v>42</v>
      </c>
      <c r="B18" s="81" t="s">
        <v>643</v>
      </c>
      <c r="C18" s="81" t="s">
        <v>644</v>
      </c>
      <c r="D18" s="81" t="s">
        <v>0</v>
      </c>
      <c r="E18" s="81">
        <v>4203</v>
      </c>
      <c r="F18" s="81">
        <v>10000</v>
      </c>
      <c r="G18" s="81">
        <v>0</v>
      </c>
      <c r="H18" s="40">
        <f t="shared" si="0"/>
        <v>10000</v>
      </c>
      <c r="I18" s="82">
        <v>3000</v>
      </c>
    </row>
    <row r="19" spans="1:18" x14ac:dyDescent="0.25">
      <c r="A19" s="81">
        <v>35</v>
      </c>
      <c r="B19" s="81" t="s">
        <v>490</v>
      </c>
      <c r="C19" s="81" t="s">
        <v>207</v>
      </c>
      <c r="D19" s="81" t="s">
        <v>0</v>
      </c>
      <c r="E19" s="81">
        <v>4040</v>
      </c>
      <c r="F19" s="81">
        <v>8630</v>
      </c>
      <c r="G19" s="81">
        <v>0</v>
      </c>
      <c r="H19" s="40">
        <f t="shared" si="0"/>
        <v>8630</v>
      </c>
      <c r="I19" s="82">
        <v>3000</v>
      </c>
    </row>
    <row r="20" spans="1:18" x14ac:dyDescent="0.25">
      <c r="A20" s="81">
        <v>23</v>
      </c>
      <c r="B20" s="81" t="s">
        <v>470</v>
      </c>
      <c r="C20" s="81" t="s">
        <v>217</v>
      </c>
      <c r="D20" s="81" t="s">
        <v>0</v>
      </c>
      <c r="E20" s="81">
        <v>4023</v>
      </c>
      <c r="F20" s="81">
        <v>6150</v>
      </c>
      <c r="G20" s="81">
        <v>0</v>
      </c>
      <c r="H20" s="40">
        <f t="shared" si="0"/>
        <v>6150</v>
      </c>
      <c r="I20" s="82">
        <v>3000</v>
      </c>
    </row>
    <row r="21" spans="1:18" x14ac:dyDescent="0.25">
      <c r="A21" s="81">
        <v>20</v>
      </c>
      <c r="B21" s="81" t="s">
        <v>471</v>
      </c>
      <c r="C21" s="81" t="s">
        <v>546</v>
      </c>
      <c r="D21" s="81" t="s">
        <v>0</v>
      </c>
      <c r="E21" s="81">
        <v>4010</v>
      </c>
      <c r="F21" s="81">
        <v>5000</v>
      </c>
      <c r="G21" s="81">
        <v>0</v>
      </c>
      <c r="H21" s="40">
        <f t="shared" si="0"/>
        <v>5000</v>
      </c>
      <c r="I21" s="82">
        <v>3000</v>
      </c>
      <c r="L21" s="102"/>
      <c r="P21" t="s">
        <v>2</v>
      </c>
      <c r="R21" s="113"/>
    </row>
    <row r="22" spans="1:18" x14ac:dyDescent="0.25">
      <c r="A22" s="81">
        <v>32</v>
      </c>
      <c r="B22" s="81" t="s">
        <v>486</v>
      </c>
      <c r="C22" s="81" t="s">
        <v>183</v>
      </c>
      <c r="D22" s="81" t="s">
        <v>0</v>
      </c>
      <c r="E22" s="81">
        <v>3984</v>
      </c>
      <c r="F22" s="81">
        <v>2840</v>
      </c>
      <c r="G22" s="81">
        <v>0</v>
      </c>
      <c r="H22" s="40">
        <f t="shared" si="0"/>
        <v>2840</v>
      </c>
      <c r="I22" s="82">
        <v>3000</v>
      </c>
      <c r="L22" s="102"/>
    </row>
    <row r="23" spans="1:18" x14ac:dyDescent="0.25">
      <c r="A23" s="81">
        <v>27</v>
      </c>
      <c r="B23" s="81" t="s">
        <v>477</v>
      </c>
      <c r="C23" s="81" t="s">
        <v>478</v>
      </c>
      <c r="D23" s="81" t="s">
        <v>0</v>
      </c>
      <c r="E23" s="81">
        <v>4007</v>
      </c>
      <c r="F23" s="81">
        <v>810</v>
      </c>
      <c r="G23" s="81">
        <v>0</v>
      </c>
      <c r="H23" s="40">
        <f t="shared" si="0"/>
        <v>810</v>
      </c>
      <c r="I23" s="82">
        <v>3000</v>
      </c>
    </row>
    <row r="24" spans="1:18" x14ac:dyDescent="0.25">
      <c r="A24" s="81">
        <v>44</v>
      </c>
      <c r="B24" s="81" t="s">
        <v>777</v>
      </c>
      <c r="C24" s="81"/>
      <c r="D24" s="81" t="s">
        <v>0</v>
      </c>
      <c r="E24" s="81">
        <v>4364</v>
      </c>
      <c r="F24" s="81">
        <v>760</v>
      </c>
      <c r="G24" s="81">
        <v>0</v>
      </c>
      <c r="H24" s="40">
        <f t="shared" si="0"/>
        <v>760</v>
      </c>
      <c r="I24" s="82">
        <v>3000</v>
      </c>
    </row>
    <row r="25" spans="1:18" x14ac:dyDescent="0.25">
      <c r="A25" s="81">
        <v>41</v>
      </c>
      <c r="B25" s="81" t="s">
        <v>648</v>
      </c>
      <c r="C25" s="81"/>
      <c r="D25" s="81" t="s">
        <v>0</v>
      </c>
      <c r="E25" s="81">
        <v>4207</v>
      </c>
      <c r="F25" s="81">
        <v>500</v>
      </c>
      <c r="G25" s="81">
        <v>0</v>
      </c>
      <c r="H25" s="40">
        <f t="shared" si="0"/>
        <v>500</v>
      </c>
      <c r="I25" s="82">
        <v>3000</v>
      </c>
    </row>
    <row r="26" spans="1:18" x14ac:dyDescent="0.25">
      <c r="A26" s="81">
        <v>43</v>
      </c>
      <c r="B26" s="81" t="s">
        <v>711</v>
      </c>
      <c r="C26" s="81"/>
      <c r="D26" s="81" t="s">
        <v>0</v>
      </c>
      <c r="E26" s="81">
        <v>4278</v>
      </c>
      <c r="F26" s="81">
        <v>100</v>
      </c>
      <c r="G26" s="81">
        <v>0</v>
      </c>
      <c r="H26" s="40">
        <f t="shared" si="0"/>
        <v>100</v>
      </c>
      <c r="I26" s="82">
        <v>3000</v>
      </c>
    </row>
    <row r="27" spans="1:18" x14ac:dyDescent="0.25">
      <c r="A27" s="81">
        <v>8</v>
      </c>
      <c r="B27" s="81" t="s">
        <v>483</v>
      </c>
      <c r="C27" s="81" t="s">
        <v>229</v>
      </c>
      <c r="D27" s="81" t="s">
        <v>0</v>
      </c>
      <c r="E27" s="81">
        <v>4016</v>
      </c>
      <c r="F27" s="81">
        <v>40</v>
      </c>
      <c r="G27" s="81">
        <v>0</v>
      </c>
      <c r="H27" s="40">
        <f t="shared" si="0"/>
        <v>40</v>
      </c>
      <c r="I27" s="82">
        <v>3000</v>
      </c>
    </row>
    <row r="28" spans="1:18" x14ac:dyDescent="0.25">
      <c r="A28" s="81">
        <v>22</v>
      </c>
      <c r="B28" s="81" t="s">
        <v>477</v>
      </c>
      <c r="C28" s="81" t="s">
        <v>6</v>
      </c>
      <c r="D28" s="81" t="s">
        <v>0</v>
      </c>
      <c r="E28" s="81">
        <v>3997</v>
      </c>
      <c r="F28" s="81">
        <v>0</v>
      </c>
      <c r="G28" s="81">
        <v>0</v>
      </c>
      <c r="H28" s="40">
        <f t="shared" si="0"/>
        <v>0</v>
      </c>
      <c r="I28" s="82">
        <v>3000</v>
      </c>
    </row>
    <row r="29" spans="1:18" x14ac:dyDescent="0.25">
      <c r="A29" s="81">
        <v>46</v>
      </c>
      <c r="B29" s="81" t="s">
        <v>242</v>
      </c>
      <c r="C29" s="81" t="s">
        <v>265</v>
      </c>
      <c r="D29" s="81" t="s">
        <v>0</v>
      </c>
      <c r="E29" s="81">
        <v>4379</v>
      </c>
      <c r="F29" s="81">
        <v>0</v>
      </c>
      <c r="G29" s="81">
        <v>0</v>
      </c>
      <c r="H29" s="40">
        <f t="shared" si="0"/>
        <v>0</v>
      </c>
      <c r="I29" s="82">
        <v>3000</v>
      </c>
    </row>
    <row r="30" spans="1:18" x14ac:dyDescent="0.25">
      <c r="A30" s="81">
        <v>13</v>
      </c>
      <c r="B30" s="81" t="s">
        <v>242</v>
      </c>
      <c r="C30" s="81" t="s">
        <v>183</v>
      </c>
      <c r="D30" s="81" t="s">
        <v>0</v>
      </c>
      <c r="E30" s="81">
        <v>4021</v>
      </c>
      <c r="F30" s="81">
        <v>0</v>
      </c>
      <c r="G30" s="81">
        <v>0</v>
      </c>
      <c r="H30" s="40">
        <f t="shared" si="0"/>
        <v>0</v>
      </c>
      <c r="I30" s="82">
        <v>3000</v>
      </c>
    </row>
    <row r="31" spans="1:18" x14ac:dyDescent="0.25">
      <c r="A31" s="81">
        <v>37</v>
      </c>
      <c r="B31" s="81" t="s">
        <v>452</v>
      </c>
      <c r="C31" s="81" t="s">
        <v>183</v>
      </c>
      <c r="D31" s="81" t="s">
        <v>0</v>
      </c>
      <c r="E31" s="81">
        <v>4044</v>
      </c>
      <c r="F31" s="81">
        <v>0</v>
      </c>
      <c r="G31" s="81">
        <v>0</v>
      </c>
      <c r="H31" s="40">
        <f t="shared" si="0"/>
        <v>0</v>
      </c>
      <c r="I31" s="82">
        <v>3000</v>
      </c>
    </row>
    <row r="32" spans="1:18" x14ac:dyDescent="0.25">
      <c r="A32" s="81">
        <v>45</v>
      </c>
      <c r="B32" s="81" t="s">
        <v>780</v>
      </c>
      <c r="C32" s="81"/>
      <c r="D32" s="81" t="s">
        <v>0</v>
      </c>
      <c r="E32" s="81">
        <v>4368</v>
      </c>
      <c r="F32" s="81">
        <v>0</v>
      </c>
      <c r="G32" s="81">
        <v>0</v>
      </c>
      <c r="H32" s="40">
        <f t="shared" si="0"/>
        <v>0</v>
      </c>
      <c r="I32" s="82">
        <v>3000</v>
      </c>
    </row>
    <row r="33" spans="1:9" x14ac:dyDescent="0.25">
      <c r="A33" s="81">
        <v>26</v>
      </c>
      <c r="B33" s="81" t="s">
        <v>239</v>
      </c>
      <c r="C33" s="81" t="s">
        <v>472</v>
      </c>
      <c r="D33" s="81" t="s">
        <v>0</v>
      </c>
      <c r="E33" s="81">
        <v>4030</v>
      </c>
      <c r="F33" s="81">
        <v>0</v>
      </c>
      <c r="G33" s="81">
        <v>0</v>
      </c>
      <c r="H33" s="40">
        <f t="shared" si="0"/>
        <v>0</v>
      </c>
      <c r="I33" s="82">
        <v>3000</v>
      </c>
    </row>
    <row r="34" spans="1:9" x14ac:dyDescent="0.25">
      <c r="A34" s="81"/>
      <c r="B34" s="81"/>
      <c r="C34" s="81"/>
      <c r="D34" s="81"/>
      <c r="E34" s="81"/>
      <c r="F34" s="81">
        <f>SUM(F3:F33)</f>
        <v>362510</v>
      </c>
      <c r="G34" s="81">
        <f>SUM(G3:G33)</f>
        <v>94590</v>
      </c>
      <c r="H34" s="40">
        <f t="shared" si="0"/>
        <v>457100</v>
      </c>
      <c r="I34" s="81"/>
    </row>
  </sheetData>
  <sortState ref="A3:H33">
    <sortCondition descending="1" ref="H3:H33"/>
  </sortState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S56"/>
  <sheetViews>
    <sheetView topLeftCell="A6" zoomScale="110" zoomScaleNormal="110" workbookViewId="0">
      <selection activeCell="M28" sqref="M28"/>
    </sheetView>
  </sheetViews>
  <sheetFormatPr defaultRowHeight="15" x14ac:dyDescent="0.25"/>
  <cols>
    <col min="1" max="1" width="2.85546875" customWidth="1"/>
    <col min="4" max="4" width="12.7109375" customWidth="1"/>
    <col min="5" max="5" width="7.28515625" customWidth="1"/>
    <col min="6" max="6" width="4" customWidth="1"/>
    <col min="7" max="7" width="8.85546875" customWidth="1"/>
    <col min="8" max="8" width="11.5703125" customWidth="1"/>
    <col min="9" max="9" width="11.42578125" customWidth="1"/>
    <col min="10" max="10" width="12.140625" customWidth="1"/>
  </cols>
  <sheetData>
    <row r="1" spans="1:19" s="73" customFormat="1" ht="15.75" x14ac:dyDescent="0.25">
      <c r="A1" s="72" t="s">
        <v>893</v>
      </c>
      <c r="B1" s="72"/>
      <c r="C1" s="72"/>
      <c r="D1" s="72"/>
      <c r="E1" s="72"/>
      <c r="F1" s="72"/>
      <c r="G1" s="72"/>
    </row>
    <row r="2" spans="1:19" s="71" customFormat="1" ht="15.75" x14ac:dyDescent="0.25">
      <c r="A2" s="105"/>
      <c r="B2" s="105"/>
      <c r="C2" s="105" t="s">
        <v>116</v>
      </c>
      <c r="D2" s="105"/>
      <c r="E2" s="105" t="s">
        <v>52</v>
      </c>
      <c r="F2" s="105"/>
      <c r="G2" s="105" t="s">
        <v>114</v>
      </c>
      <c r="H2" s="105" t="s">
        <v>4</v>
      </c>
      <c r="I2" s="105" t="s">
        <v>113</v>
      </c>
      <c r="J2" s="105" t="s">
        <v>720</v>
      </c>
    </row>
    <row r="3" spans="1:19" x14ac:dyDescent="0.25">
      <c r="A3" s="81">
        <v>3</v>
      </c>
      <c r="B3" s="81" t="s">
        <v>624</v>
      </c>
      <c r="C3" s="81"/>
      <c r="D3" s="81"/>
      <c r="E3" s="81">
        <v>4187</v>
      </c>
      <c r="F3" s="81"/>
      <c r="G3" s="82">
        <v>9000</v>
      </c>
      <c r="H3" s="82">
        <v>23000</v>
      </c>
      <c r="I3" s="41">
        <f t="shared" ref="I3:I32" si="0">SUM(G3:H3)</f>
        <v>32000</v>
      </c>
      <c r="J3" s="41"/>
    </row>
    <row r="4" spans="1:19" x14ac:dyDescent="0.25">
      <c r="A4" s="81">
        <v>4</v>
      </c>
      <c r="B4" s="81" t="s">
        <v>592</v>
      </c>
      <c r="C4" s="81"/>
      <c r="D4" s="81"/>
      <c r="E4" s="81">
        <v>4116</v>
      </c>
      <c r="F4" s="81"/>
      <c r="G4" s="82">
        <v>9000</v>
      </c>
      <c r="H4" s="82">
        <v>22800</v>
      </c>
      <c r="I4" s="41">
        <f t="shared" si="0"/>
        <v>31800</v>
      </c>
      <c r="J4" s="41"/>
    </row>
    <row r="5" spans="1:19" x14ac:dyDescent="0.25">
      <c r="A5" s="81">
        <v>5</v>
      </c>
      <c r="B5" s="81" t="s">
        <v>564</v>
      </c>
      <c r="C5" s="81"/>
      <c r="D5" s="81"/>
      <c r="E5" s="81">
        <v>4099</v>
      </c>
      <c r="F5" s="81" t="s">
        <v>0</v>
      </c>
      <c r="G5" s="82">
        <v>30000</v>
      </c>
      <c r="H5" s="82">
        <v>730</v>
      </c>
      <c r="I5" s="41">
        <f t="shared" si="0"/>
        <v>30730</v>
      </c>
      <c r="J5" s="41"/>
    </row>
    <row r="6" spans="1:19" x14ac:dyDescent="0.25">
      <c r="A6" s="81">
        <v>7</v>
      </c>
      <c r="B6" s="81" t="s">
        <v>634</v>
      </c>
      <c r="C6" s="81"/>
      <c r="D6" s="81"/>
      <c r="E6" s="81">
        <v>4112</v>
      </c>
      <c r="F6" s="81" t="s">
        <v>0</v>
      </c>
      <c r="G6" s="82">
        <v>30000</v>
      </c>
      <c r="H6" s="82">
        <v>0</v>
      </c>
      <c r="I6" s="41">
        <f t="shared" si="0"/>
        <v>30000</v>
      </c>
      <c r="J6" s="41"/>
      <c r="M6" t="s">
        <v>155</v>
      </c>
    </row>
    <row r="7" spans="1:19" x14ac:dyDescent="0.25">
      <c r="A7" s="81">
        <v>10</v>
      </c>
      <c r="B7" s="81" t="s">
        <v>594</v>
      </c>
      <c r="C7" s="81"/>
      <c r="D7" s="81"/>
      <c r="E7" s="81">
        <v>4119</v>
      </c>
      <c r="F7" s="81"/>
      <c r="G7" s="82">
        <v>9000</v>
      </c>
      <c r="H7" s="82">
        <v>18500</v>
      </c>
      <c r="I7" s="41">
        <f t="shared" si="0"/>
        <v>27500</v>
      </c>
      <c r="J7" s="41"/>
      <c r="S7" t="s">
        <v>2</v>
      </c>
    </row>
    <row r="8" spans="1:19" x14ac:dyDescent="0.25">
      <c r="A8" s="81">
        <v>12</v>
      </c>
      <c r="B8" s="81" t="s">
        <v>573</v>
      </c>
      <c r="C8" s="81"/>
      <c r="D8" s="81"/>
      <c r="E8" s="81">
        <v>4113</v>
      </c>
      <c r="F8" s="81"/>
      <c r="G8" s="82">
        <v>9000</v>
      </c>
      <c r="H8" s="82">
        <v>18000</v>
      </c>
      <c r="I8" s="41">
        <f t="shared" si="0"/>
        <v>27000</v>
      </c>
      <c r="J8" s="41"/>
    </row>
    <row r="9" spans="1:19" x14ac:dyDescent="0.25">
      <c r="A9" s="81">
        <v>13</v>
      </c>
      <c r="B9" s="81" t="s">
        <v>574</v>
      </c>
      <c r="C9" s="81"/>
      <c r="D9" s="81"/>
      <c r="E9" s="81">
        <v>4122</v>
      </c>
      <c r="F9" s="81"/>
      <c r="G9" s="82">
        <v>9000</v>
      </c>
      <c r="H9" s="82">
        <v>16500</v>
      </c>
      <c r="I9" s="41">
        <f t="shared" si="0"/>
        <v>25500</v>
      </c>
      <c r="J9" s="41"/>
    </row>
    <row r="10" spans="1:19" x14ac:dyDescent="0.25">
      <c r="A10" s="81">
        <v>14</v>
      </c>
      <c r="B10" s="81" t="s">
        <v>696</v>
      </c>
      <c r="C10" s="81"/>
      <c r="D10" s="81"/>
      <c r="E10" s="81">
        <v>4254</v>
      </c>
      <c r="F10" s="81"/>
      <c r="G10" s="82">
        <v>9000</v>
      </c>
      <c r="H10" s="82">
        <v>15000</v>
      </c>
      <c r="I10" s="41">
        <f t="shared" si="0"/>
        <v>24000</v>
      </c>
      <c r="J10" s="41"/>
    </row>
    <row r="11" spans="1:19" x14ac:dyDescent="0.25">
      <c r="A11" s="81">
        <v>15</v>
      </c>
      <c r="B11" s="81" t="s">
        <v>579</v>
      </c>
      <c r="C11" s="81"/>
      <c r="D11" s="81"/>
      <c r="E11" s="81">
        <v>4134</v>
      </c>
      <c r="F11" s="81"/>
      <c r="G11" s="82">
        <v>9000</v>
      </c>
      <c r="H11" s="82">
        <v>14500</v>
      </c>
      <c r="I11" s="41">
        <f t="shared" si="0"/>
        <v>23500</v>
      </c>
      <c r="J11" s="41"/>
    </row>
    <row r="12" spans="1:19" x14ac:dyDescent="0.25">
      <c r="A12" s="81">
        <v>17</v>
      </c>
      <c r="B12" s="81" t="s">
        <v>591</v>
      </c>
      <c r="C12" s="81"/>
      <c r="D12" s="81"/>
      <c r="E12" s="81">
        <v>4115</v>
      </c>
      <c r="F12" s="81"/>
      <c r="G12" s="82">
        <v>9000</v>
      </c>
      <c r="H12" s="82">
        <v>10370</v>
      </c>
      <c r="I12" s="41">
        <f t="shared" si="0"/>
        <v>19370</v>
      </c>
      <c r="J12" s="41"/>
    </row>
    <row r="13" spans="1:19" x14ac:dyDescent="0.25">
      <c r="A13" s="81">
        <v>19</v>
      </c>
      <c r="B13" s="81" t="s">
        <v>5</v>
      </c>
      <c r="C13" s="81"/>
      <c r="D13" s="81"/>
      <c r="E13" s="81">
        <v>4180</v>
      </c>
      <c r="F13" s="81"/>
      <c r="G13" s="82">
        <v>9000</v>
      </c>
      <c r="H13" s="82">
        <v>9000</v>
      </c>
      <c r="I13" s="41">
        <f t="shared" si="0"/>
        <v>18000</v>
      </c>
      <c r="J13" s="41"/>
    </row>
    <row r="14" spans="1:19" x14ac:dyDescent="0.25">
      <c r="A14" s="81">
        <v>20</v>
      </c>
      <c r="B14" s="81" t="s">
        <v>615</v>
      </c>
      <c r="C14" s="81"/>
      <c r="D14" s="81"/>
      <c r="E14" s="81">
        <v>4171</v>
      </c>
      <c r="F14" s="81"/>
      <c r="G14" s="82">
        <v>9000</v>
      </c>
      <c r="H14" s="82">
        <v>9000</v>
      </c>
      <c r="I14" s="41">
        <f t="shared" si="0"/>
        <v>18000</v>
      </c>
      <c r="J14" s="41"/>
    </row>
    <row r="15" spans="1:19" x14ac:dyDescent="0.25">
      <c r="A15" s="81">
        <v>21</v>
      </c>
      <c r="B15" s="81" t="s">
        <v>586</v>
      </c>
      <c r="C15" s="81"/>
      <c r="D15" s="81"/>
      <c r="E15" s="81">
        <v>4138</v>
      </c>
      <c r="F15" s="81"/>
      <c r="G15" s="82">
        <v>9000</v>
      </c>
      <c r="H15" s="82">
        <v>8739</v>
      </c>
      <c r="I15" s="41">
        <f t="shared" si="0"/>
        <v>17739</v>
      </c>
      <c r="J15" s="41"/>
    </row>
    <row r="16" spans="1:19" x14ac:dyDescent="0.25">
      <c r="A16" s="81">
        <v>24</v>
      </c>
      <c r="B16" s="81" t="s">
        <v>559</v>
      </c>
      <c r="C16" s="81"/>
      <c r="D16" s="81"/>
      <c r="E16" s="81">
        <v>4093</v>
      </c>
      <c r="F16" s="81"/>
      <c r="G16" s="82">
        <v>9000</v>
      </c>
      <c r="H16" s="82">
        <v>3740</v>
      </c>
      <c r="I16" s="41">
        <f t="shared" si="0"/>
        <v>12740</v>
      </c>
      <c r="J16" s="41"/>
    </row>
    <row r="17" spans="1:13" x14ac:dyDescent="0.25">
      <c r="A17" s="81">
        <v>16</v>
      </c>
      <c r="B17" s="81" t="s">
        <v>860</v>
      </c>
      <c r="C17" s="81"/>
      <c r="D17" s="81"/>
      <c r="E17" s="81">
        <v>4001</v>
      </c>
      <c r="F17" s="81"/>
      <c r="G17" s="82">
        <v>9000</v>
      </c>
      <c r="H17" s="82">
        <v>2300</v>
      </c>
      <c r="I17" s="41">
        <f t="shared" si="0"/>
        <v>11300</v>
      </c>
      <c r="J17" s="41"/>
    </row>
    <row r="18" spans="1:13" x14ac:dyDescent="0.25">
      <c r="A18" s="81">
        <v>25</v>
      </c>
      <c r="B18" s="81" t="s">
        <v>595</v>
      </c>
      <c r="C18" s="81"/>
      <c r="D18" s="81"/>
      <c r="E18" s="81">
        <v>4136</v>
      </c>
      <c r="F18" s="81"/>
      <c r="G18" s="82">
        <v>9000</v>
      </c>
      <c r="H18" s="82">
        <v>1172</v>
      </c>
      <c r="I18" s="41">
        <f t="shared" si="0"/>
        <v>10172</v>
      </c>
      <c r="J18" s="41"/>
    </row>
    <row r="19" spans="1:13" x14ac:dyDescent="0.25">
      <c r="A19" s="81">
        <v>45</v>
      </c>
      <c r="B19" s="81" t="s">
        <v>954</v>
      </c>
      <c r="C19" s="81"/>
      <c r="D19" s="81"/>
      <c r="E19" s="81">
        <v>4468</v>
      </c>
      <c r="F19" s="81"/>
      <c r="G19" s="82">
        <v>9000</v>
      </c>
      <c r="H19" s="82">
        <v>0</v>
      </c>
      <c r="I19" s="41">
        <f t="shared" si="0"/>
        <v>9000</v>
      </c>
      <c r="J19" s="41"/>
    </row>
    <row r="20" spans="1:13" x14ac:dyDescent="0.25">
      <c r="A20" s="81">
        <v>26</v>
      </c>
      <c r="B20" s="81" t="s">
        <v>613</v>
      </c>
      <c r="C20" s="81"/>
      <c r="D20" s="81"/>
      <c r="E20" s="81">
        <v>4167</v>
      </c>
      <c r="F20" s="81"/>
      <c r="G20" s="82">
        <v>8000</v>
      </c>
      <c r="H20" s="82">
        <v>0</v>
      </c>
      <c r="I20" s="41">
        <f t="shared" si="0"/>
        <v>8000</v>
      </c>
      <c r="J20" s="41"/>
    </row>
    <row r="21" spans="1:13" x14ac:dyDescent="0.25">
      <c r="A21" s="81">
        <v>2</v>
      </c>
      <c r="B21" s="81" t="s">
        <v>610</v>
      </c>
      <c r="C21" s="81"/>
      <c r="D21" s="81"/>
      <c r="E21" s="81">
        <v>4160</v>
      </c>
      <c r="F21" s="81"/>
      <c r="G21" s="82">
        <v>7630</v>
      </c>
      <c r="H21" s="82">
        <v>0</v>
      </c>
      <c r="I21" s="41">
        <f t="shared" si="0"/>
        <v>7630</v>
      </c>
      <c r="J21" s="41"/>
    </row>
    <row r="22" spans="1:13" x14ac:dyDescent="0.25">
      <c r="A22" s="81">
        <v>28</v>
      </c>
      <c r="B22" s="81" t="s">
        <v>562</v>
      </c>
      <c r="C22" s="81"/>
      <c r="D22" s="81"/>
      <c r="E22" s="81">
        <v>4097</v>
      </c>
      <c r="F22" s="81"/>
      <c r="G22" s="82">
        <v>5700</v>
      </c>
      <c r="H22" s="82">
        <v>0</v>
      </c>
      <c r="I22" s="41">
        <f t="shared" si="0"/>
        <v>5700</v>
      </c>
      <c r="J22" s="41"/>
      <c r="K22" t="s">
        <v>800</v>
      </c>
    </row>
    <row r="23" spans="1:13" x14ac:dyDescent="0.25">
      <c r="A23" s="81">
        <v>18</v>
      </c>
      <c r="B23" s="81" t="s">
        <v>616</v>
      </c>
      <c r="C23" s="81"/>
      <c r="D23" s="81" t="s">
        <v>617</v>
      </c>
      <c r="E23" s="81">
        <v>4086</v>
      </c>
      <c r="F23" s="81" t="s">
        <v>0</v>
      </c>
      <c r="G23" s="82">
        <v>4650</v>
      </c>
      <c r="H23" s="82">
        <v>0</v>
      </c>
      <c r="I23" s="41">
        <f t="shared" si="0"/>
        <v>4650</v>
      </c>
      <c r="J23" s="41"/>
    </row>
    <row r="24" spans="1:13" x14ac:dyDescent="0.25">
      <c r="A24" s="81">
        <v>30</v>
      </c>
      <c r="B24" s="81" t="s">
        <v>606</v>
      </c>
      <c r="C24" s="81"/>
      <c r="D24" s="81"/>
      <c r="E24" s="81">
        <v>4154</v>
      </c>
      <c r="F24" s="81" t="s">
        <v>1</v>
      </c>
      <c r="G24" s="82">
        <v>3680</v>
      </c>
      <c r="H24" s="82">
        <v>0</v>
      </c>
      <c r="I24" s="41">
        <f t="shared" si="0"/>
        <v>3680</v>
      </c>
      <c r="J24" s="41"/>
    </row>
    <row r="25" spans="1:13" ht="15" customHeight="1" x14ac:dyDescent="0.25">
      <c r="A25" s="81">
        <v>31</v>
      </c>
      <c r="B25" s="81" t="s">
        <v>555</v>
      </c>
      <c r="C25" s="81"/>
      <c r="D25" s="81"/>
      <c r="E25" s="81">
        <v>4088</v>
      </c>
      <c r="F25" s="81" t="s">
        <v>0</v>
      </c>
      <c r="G25" s="82">
        <v>1590</v>
      </c>
      <c r="H25" s="82">
        <v>0</v>
      </c>
      <c r="I25" s="41">
        <f t="shared" si="0"/>
        <v>1590</v>
      </c>
      <c r="J25" s="41"/>
    </row>
    <row r="26" spans="1:13" x14ac:dyDescent="0.25">
      <c r="A26" s="81">
        <v>36</v>
      </c>
      <c r="B26" s="81" t="s">
        <v>593</v>
      </c>
      <c r="C26" s="81"/>
      <c r="D26" s="81"/>
      <c r="E26" s="81">
        <v>4117</v>
      </c>
      <c r="F26" s="81"/>
      <c r="G26" s="82">
        <v>1000</v>
      </c>
      <c r="H26" s="82">
        <v>0</v>
      </c>
      <c r="I26" s="41">
        <f t="shared" si="0"/>
        <v>1000</v>
      </c>
      <c r="J26" s="41"/>
    </row>
    <row r="27" spans="1:13" x14ac:dyDescent="0.25">
      <c r="A27" s="81">
        <v>37</v>
      </c>
      <c r="B27" s="81" t="s">
        <v>603</v>
      </c>
      <c r="C27" s="81"/>
      <c r="D27" s="81"/>
      <c r="E27" s="81">
        <v>4120</v>
      </c>
      <c r="F27" s="81"/>
      <c r="G27" s="82">
        <v>600</v>
      </c>
      <c r="H27" s="82">
        <v>0</v>
      </c>
      <c r="I27" s="41">
        <f t="shared" si="0"/>
        <v>600</v>
      </c>
      <c r="J27" s="41"/>
    </row>
    <row r="28" spans="1:13" x14ac:dyDescent="0.25">
      <c r="A28" s="81">
        <v>39</v>
      </c>
      <c r="B28" s="81" t="s">
        <v>715</v>
      </c>
      <c r="C28" s="81"/>
      <c r="D28" s="81"/>
      <c r="E28" s="81">
        <v>4159</v>
      </c>
      <c r="F28" s="81"/>
      <c r="G28" s="82">
        <v>540</v>
      </c>
      <c r="H28" s="82">
        <v>0</v>
      </c>
      <c r="I28" s="41">
        <f t="shared" si="0"/>
        <v>540</v>
      </c>
      <c r="J28" s="41"/>
      <c r="M28" t="s">
        <v>2</v>
      </c>
    </row>
    <row r="29" spans="1:13" x14ac:dyDescent="0.25">
      <c r="A29" s="81">
        <v>33</v>
      </c>
      <c r="B29" s="81" t="s">
        <v>598</v>
      </c>
      <c r="C29" s="81"/>
      <c r="D29" s="81"/>
      <c r="E29" s="81">
        <v>4144</v>
      </c>
      <c r="F29" s="81"/>
      <c r="G29" s="82">
        <v>200</v>
      </c>
      <c r="H29" s="82">
        <v>0</v>
      </c>
      <c r="I29" s="41">
        <f t="shared" si="0"/>
        <v>200</v>
      </c>
      <c r="J29" s="41"/>
    </row>
    <row r="30" spans="1:13" x14ac:dyDescent="0.25">
      <c r="A30" s="81">
        <v>40</v>
      </c>
      <c r="B30" s="81" t="s">
        <v>560</v>
      </c>
      <c r="C30" s="81"/>
      <c r="D30" s="81"/>
      <c r="E30" s="81">
        <v>4095</v>
      </c>
      <c r="F30" s="81"/>
      <c r="G30" s="82">
        <v>110</v>
      </c>
      <c r="H30" s="82">
        <v>0</v>
      </c>
      <c r="I30" s="41">
        <f t="shared" si="0"/>
        <v>110</v>
      </c>
      <c r="J30" s="41"/>
    </row>
    <row r="31" spans="1:13" x14ac:dyDescent="0.25">
      <c r="A31" s="81">
        <v>22</v>
      </c>
      <c r="B31" s="81" t="s">
        <v>743</v>
      </c>
      <c r="C31" s="81"/>
      <c r="D31" s="81"/>
      <c r="E31" s="81">
        <v>4313</v>
      </c>
      <c r="F31" s="81" t="s">
        <v>0</v>
      </c>
      <c r="G31" s="82">
        <v>100</v>
      </c>
      <c r="H31" s="82">
        <v>0</v>
      </c>
      <c r="I31" s="41">
        <f t="shared" si="0"/>
        <v>100</v>
      </c>
      <c r="J31" s="41"/>
    </row>
    <row r="32" spans="1:13" x14ac:dyDescent="0.25">
      <c r="A32" s="81">
        <v>34</v>
      </c>
      <c r="B32" s="81" t="s">
        <v>569</v>
      </c>
      <c r="C32" s="81"/>
      <c r="D32" s="81"/>
      <c r="E32" s="81">
        <v>4105</v>
      </c>
      <c r="F32" s="81"/>
      <c r="G32" s="82">
        <v>0</v>
      </c>
      <c r="H32" s="82">
        <v>0</v>
      </c>
      <c r="I32" s="41">
        <f t="shared" si="0"/>
        <v>0</v>
      </c>
      <c r="J32" s="41"/>
    </row>
    <row r="33" spans="1:11" x14ac:dyDescent="0.25">
      <c r="A33" s="81">
        <v>35</v>
      </c>
      <c r="B33" s="81" t="s">
        <v>816</v>
      </c>
      <c r="C33" s="81"/>
      <c r="D33" s="81"/>
      <c r="E33" s="81">
        <v>4390</v>
      </c>
      <c r="F33" s="81"/>
      <c r="G33" s="82">
        <v>0</v>
      </c>
      <c r="H33" s="82">
        <v>0</v>
      </c>
      <c r="I33" s="41">
        <v>0</v>
      </c>
      <c r="J33" s="41"/>
    </row>
    <row r="34" spans="1:11" x14ac:dyDescent="0.25">
      <c r="A34" s="81">
        <v>23</v>
      </c>
      <c r="B34" s="81" t="s">
        <v>583</v>
      </c>
      <c r="C34" s="81"/>
      <c r="D34" s="81"/>
      <c r="E34" s="81">
        <v>4131</v>
      </c>
      <c r="F34" s="81" t="s">
        <v>0</v>
      </c>
      <c r="G34" s="82">
        <v>0</v>
      </c>
      <c r="H34" s="82">
        <v>0</v>
      </c>
      <c r="I34" s="41">
        <f t="shared" ref="I34:I41" si="1">SUM(G34:H34)</f>
        <v>0</v>
      </c>
      <c r="J34" s="41"/>
    </row>
    <row r="35" spans="1:11" x14ac:dyDescent="0.25">
      <c r="A35" s="81">
        <v>27</v>
      </c>
      <c r="B35" s="81" t="s">
        <v>566</v>
      </c>
      <c r="C35" s="81"/>
      <c r="D35" s="81"/>
      <c r="E35" s="81">
        <v>4101</v>
      </c>
      <c r="F35" s="81" t="s">
        <v>0</v>
      </c>
      <c r="G35" s="82">
        <v>0</v>
      </c>
      <c r="H35" s="82">
        <v>0</v>
      </c>
      <c r="I35" s="41">
        <f t="shared" si="1"/>
        <v>0</v>
      </c>
      <c r="J35" s="41"/>
    </row>
    <row r="36" spans="1:11" x14ac:dyDescent="0.25">
      <c r="A36" s="81">
        <v>38</v>
      </c>
      <c r="B36" s="81" t="s">
        <v>730</v>
      </c>
      <c r="C36" s="81"/>
      <c r="D36" s="81"/>
      <c r="E36" s="81">
        <v>4292</v>
      </c>
      <c r="F36" s="81"/>
      <c r="G36" s="82">
        <v>0</v>
      </c>
      <c r="H36" s="82">
        <v>0</v>
      </c>
      <c r="I36" s="41">
        <f t="shared" si="1"/>
        <v>0</v>
      </c>
      <c r="J36" s="41"/>
      <c r="K36" t="s">
        <v>808</v>
      </c>
    </row>
    <row r="37" spans="1:11" x14ac:dyDescent="0.25">
      <c r="A37" s="81">
        <v>32</v>
      </c>
      <c r="B37" s="81" t="s">
        <v>864</v>
      </c>
      <c r="C37" s="81"/>
      <c r="D37" s="81"/>
      <c r="E37" s="81">
        <v>4474</v>
      </c>
      <c r="F37" s="81"/>
      <c r="G37" s="82">
        <v>0</v>
      </c>
      <c r="H37" s="82">
        <v>0</v>
      </c>
      <c r="I37" s="41">
        <f t="shared" si="1"/>
        <v>0</v>
      </c>
      <c r="J37" s="41"/>
    </row>
    <row r="38" spans="1:11" x14ac:dyDescent="0.25">
      <c r="A38" s="81">
        <v>41</v>
      </c>
      <c r="B38" s="81" t="s">
        <v>587</v>
      </c>
      <c r="C38" s="81"/>
      <c r="D38" s="81"/>
      <c r="E38" s="81">
        <v>4139</v>
      </c>
      <c r="F38" s="81"/>
      <c r="G38" s="82">
        <v>0</v>
      </c>
      <c r="H38" s="82">
        <v>0</v>
      </c>
      <c r="I38" s="41">
        <f t="shared" si="1"/>
        <v>0</v>
      </c>
      <c r="J38" s="41"/>
    </row>
    <row r="39" spans="1:11" x14ac:dyDescent="0.25">
      <c r="A39" s="81">
        <v>29</v>
      </c>
      <c r="B39" s="81" t="s">
        <v>611</v>
      </c>
      <c r="C39" s="81"/>
      <c r="D39" s="81"/>
      <c r="E39" s="81">
        <v>4165</v>
      </c>
      <c r="F39" s="81"/>
      <c r="G39" s="82">
        <v>0</v>
      </c>
      <c r="H39" s="82">
        <v>0</v>
      </c>
      <c r="I39" s="41">
        <f t="shared" si="1"/>
        <v>0</v>
      </c>
      <c r="J39" s="41"/>
    </row>
    <row r="40" spans="1:11" x14ac:dyDescent="0.25">
      <c r="A40" s="81">
        <v>42</v>
      </c>
      <c r="B40" s="81" t="s">
        <v>608</v>
      </c>
      <c r="C40" s="81"/>
      <c r="D40" s="81"/>
      <c r="E40" s="81">
        <v>4158</v>
      </c>
      <c r="F40" s="81"/>
      <c r="G40" s="82">
        <v>0</v>
      </c>
      <c r="H40" s="82">
        <v>0</v>
      </c>
      <c r="I40" s="41">
        <f t="shared" si="1"/>
        <v>0</v>
      </c>
      <c r="J40" s="41"/>
    </row>
    <row r="41" spans="1:11" x14ac:dyDescent="0.25">
      <c r="A41" s="81">
        <v>43</v>
      </c>
      <c r="B41" s="81" t="s">
        <v>557</v>
      </c>
      <c r="C41" s="81"/>
      <c r="D41" s="81"/>
      <c r="E41" s="81">
        <v>4090</v>
      </c>
      <c r="F41" s="81"/>
      <c r="G41" s="82">
        <v>0</v>
      </c>
      <c r="H41" s="82">
        <v>0</v>
      </c>
      <c r="I41" s="41">
        <f t="shared" si="1"/>
        <v>0</v>
      </c>
      <c r="J41" s="41"/>
    </row>
    <row r="42" spans="1:11" x14ac:dyDescent="0.25">
      <c r="A42" s="69"/>
      <c r="B42" s="40" t="s">
        <v>57</v>
      </c>
      <c r="C42" s="69"/>
      <c r="D42" s="69"/>
      <c r="E42" s="69"/>
      <c r="F42" s="69"/>
      <c r="G42" s="70">
        <f>SUM(G3:G41)</f>
        <v>228800</v>
      </c>
      <c r="H42" s="70">
        <f>SUM(H3:H41)</f>
        <v>173351</v>
      </c>
      <c r="I42" s="41">
        <f t="shared" ref="I42" si="2">SUM(G42:H42)</f>
        <v>402151</v>
      </c>
      <c r="J42" s="41"/>
    </row>
    <row r="56" spans="13:13" x14ac:dyDescent="0.25">
      <c r="M56" s="68"/>
    </row>
  </sheetData>
  <sortState ref="A3:J40">
    <sortCondition descending="1" ref="I3:I40"/>
  </sortState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S46"/>
  <sheetViews>
    <sheetView topLeftCell="A22" zoomScale="115" zoomScaleNormal="115" workbookViewId="0">
      <selection activeCell="M34" sqref="M34"/>
    </sheetView>
  </sheetViews>
  <sheetFormatPr defaultRowHeight="15" x14ac:dyDescent="0.25"/>
  <cols>
    <col min="1" max="1" width="3.7109375" customWidth="1"/>
    <col min="4" max="4" width="11" customWidth="1"/>
    <col min="5" max="5" width="5.140625" customWidth="1"/>
    <col min="6" max="6" width="3.7109375" customWidth="1"/>
    <col min="7" max="7" width="8.7109375" customWidth="1"/>
    <col min="8" max="8" width="10" customWidth="1"/>
    <col min="10" max="10" width="11.140625" customWidth="1"/>
  </cols>
  <sheetData>
    <row r="1" spans="1:19" s="67" customFormat="1" ht="14.25" x14ac:dyDescent="0.2">
      <c r="A1" s="80" t="s">
        <v>892</v>
      </c>
      <c r="B1" s="80"/>
      <c r="C1" s="80"/>
      <c r="D1" s="80"/>
      <c r="E1" s="80"/>
      <c r="F1" s="80"/>
      <c r="G1" s="80"/>
    </row>
    <row r="2" spans="1:19" s="1" customFormat="1" x14ac:dyDescent="0.25">
      <c r="A2" s="80" t="s">
        <v>413</v>
      </c>
      <c r="B2" s="80" t="s">
        <v>116</v>
      </c>
      <c r="C2" s="80"/>
      <c r="D2" s="80"/>
      <c r="E2" s="80" t="s">
        <v>52</v>
      </c>
      <c r="F2" s="80"/>
      <c r="G2" s="80" t="s">
        <v>114</v>
      </c>
      <c r="H2" s="66" t="s">
        <v>4</v>
      </c>
      <c r="I2" s="66" t="s">
        <v>113</v>
      </c>
      <c r="J2" s="66" t="s">
        <v>720</v>
      </c>
    </row>
    <row r="3" spans="1:19" x14ac:dyDescent="0.25">
      <c r="A3" s="76">
        <v>4</v>
      </c>
      <c r="B3" s="76" t="s">
        <v>628</v>
      </c>
      <c r="C3" s="76"/>
      <c r="D3" s="76"/>
      <c r="E3" s="76">
        <v>4189</v>
      </c>
      <c r="F3" s="76"/>
      <c r="G3" s="77">
        <v>9000</v>
      </c>
      <c r="H3" s="77">
        <v>22250</v>
      </c>
      <c r="I3" s="41">
        <f t="shared" ref="I3:I45" si="0">SUM(G3:H3)</f>
        <v>31250</v>
      </c>
      <c r="J3" s="81"/>
    </row>
    <row r="4" spans="1:19" x14ac:dyDescent="0.25">
      <c r="A4" s="76">
        <v>5</v>
      </c>
      <c r="B4" s="76" t="s">
        <v>590</v>
      </c>
      <c r="C4" s="76"/>
      <c r="D4" s="76"/>
      <c r="E4" s="76">
        <v>4114</v>
      </c>
      <c r="F4" s="76"/>
      <c r="G4" s="77">
        <v>9000</v>
      </c>
      <c r="H4" s="77">
        <v>22000</v>
      </c>
      <c r="I4" s="41">
        <f t="shared" si="0"/>
        <v>31000</v>
      </c>
      <c r="J4" s="81"/>
    </row>
    <row r="5" spans="1:19" x14ac:dyDescent="0.25">
      <c r="A5" s="76">
        <v>3</v>
      </c>
      <c r="B5" s="76" t="s">
        <v>619</v>
      </c>
      <c r="C5" s="76"/>
      <c r="D5" s="76"/>
      <c r="E5" s="76">
        <v>4170</v>
      </c>
      <c r="F5" s="76" t="s">
        <v>0</v>
      </c>
      <c r="G5" s="77">
        <v>30000</v>
      </c>
      <c r="H5" s="77">
        <v>500</v>
      </c>
      <c r="I5" s="41">
        <f t="shared" si="0"/>
        <v>30500</v>
      </c>
      <c r="J5" s="81"/>
    </row>
    <row r="6" spans="1:19" x14ac:dyDescent="0.25">
      <c r="A6" s="76">
        <v>6</v>
      </c>
      <c r="B6" s="76" t="s">
        <v>625</v>
      </c>
      <c r="C6" s="76"/>
      <c r="D6" s="76"/>
      <c r="E6" s="76">
        <v>4186</v>
      </c>
      <c r="F6" s="76"/>
      <c r="G6" s="77">
        <v>9000</v>
      </c>
      <c r="H6" s="77">
        <v>20200</v>
      </c>
      <c r="I6" s="41">
        <f t="shared" si="0"/>
        <v>29200</v>
      </c>
      <c r="J6" s="81"/>
    </row>
    <row r="7" spans="1:19" x14ac:dyDescent="0.25">
      <c r="A7" s="76">
        <v>7</v>
      </c>
      <c r="B7" s="76" t="s">
        <v>614</v>
      </c>
      <c r="C7" s="76"/>
      <c r="D7" s="76"/>
      <c r="E7" s="76">
        <v>4168</v>
      </c>
      <c r="F7" s="76"/>
      <c r="G7" s="77">
        <v>9000</v>
      </c>
      <c r="H7" s="77">
        <v>20000</v>
      </c>
      <c r="I7" s="41">
        <f t="shared" si="0"/>
        <v>29000</v>
      </c>
      <c r="J7" s="81"/>
      <c r="S7" t="s">
        <v>713</v>
      </c>
    </row>
    <row r="8" spans="1:19" x14ac:dyDescent="0.25">
      <c r="A8" s="76">
        <v>8</v>
      </c>
      <c r="B8" s="76" t="s">
        <v>561</v>
      </c>
      <c r="C8" s="76"/>
      <c r="D8" s="76"/>
      <c r="E8" s="76">
        <v>4096</v>
      </c>
      <c r="F8" s="76"/>
      <c r="G8" s="77">
        <v>9000</v>
      </c>
      <c r="H8" s="77">
        <v>19400</v>
      </c>
      <c r="I8" s="41">
        <f t="shared" si="0"/>
        <v>28400</v>
      </c>
      <c r="J8" s="81"/>
    </row>
    <row r="9" spans="1:19" x14ac:dyDescent="0.25">
      <c r="A9" s="76">
        <v>9</v>
      </c>
      <c r="B9" s="76" t="s">
        <v>620</v>
      </c>
      <c r="C9" s="76"/>
      <c r="D9" s="76"/>
      <c r="E9" s="76">
        <v>4176</v>
      </c>
      <c r="F9" s="76"/>
      <c r="G9" s="77">
        <v>9000</v>
      </c>
      <c r="H9" s="77">
        <v>18750</v>
      </c>
      <c r="I9" s="41">
        <f t="shared" si="0"/>
        <v>27750</v>
      </c>
      <c r="J9" s="81"/>
      <c r="S9" t="s">
        <v>646</v>
      </c>
    </row>
    <row r="10" spans="1:19" x14ac:dyDescent="0.25">
      <c r="A10" s="76">
        <v>10</v>
      </c>
      <c r="B10" s="76" t="s">
        <v>607</v>
      </c>
      <c r="C10" s="76"/>
      <c r="D10" s="76"/>
      <c r="E10" s="76">
        <v>4156</v>
      </c>
      <c r="F10" s="76"/>
      <c r="G10" s="77">
        <v>9000</v>
      </c>
      <c r="H10" s="77">
        <v>18000</v>
      </c>
      <c r="I10" s="41">
        <f t="shared" si="0"/>
        <v>27000</v>
      </c>
      <c r="J10" s="81"/>
    </row>
    <row r="11" spans="1:19" x14ac:dyDescent="0.25">
      <c r="A11" s="76">
        <v>11</v>
      </c>
      <c r="B11" s="76" t="s">
        <v>572</v>
      </c>
      <c r="C11" s="76"/>
      <c r="D11" s="76"/>
      <c r="E11" s="76">
        <v>4110</v>
      </c>
      <c r="F11" s="76"/>
      <c r="G11" s="77">
        <v>9000</v>
      </c>
      <c r="H11" s="77">
        <v>18000</v>
      </c>
      <c r="I11" s="41">
        <f t="shared" si="0"/>
        <v>27000</v>
      </c>
      <c r="J11" s="81"/>
    </row>
    <row r="12" spans="1:19" x14ac:dyDescent="0.25">
      <c r="A12" s="76">
        <v>12</v>
      </c>
      <c r="B12" s="76" t="s">
        <v>578</v>
      </c>
      <c r="C12" s="76"/>
      <c r="D12" s="76"/>
      <c r="E12" s="76">
        <v>4126</v>
      </c>
      <c r="F12" s="76"/>
      <c r="G12" s="77">
        <v>9000</v>
      </c>
      <c r="H12" s="77">
        <v>13960</v>
      </c>
      <c r="I12" s="41">
        <f t="shared" si="0"/>
        <v>22960</v>
      </c>
      <c r="J12" s="81"/>
      <c r="L12" t="s">
        <v>645</v>
      </c>
      <c r="Q12" t="s">
        <v>721</v>
      </c>
    </row>
    <row r="13" spans="1:19" x14ac:dyDescent="0.25">
      <c r="A13" s="76">
        <v>14</v>
      </c>
      <c r="B13" s="76" t="s">
        <v>582</v>
      </c>
      <c r="C13" s="76"/>
      <c r="D13" s="76"/>
      <c r="E13" s="76">
        <v>4130</v>
      </c>
      <c r="F13" s="76"/>
      <c r="G13" s="77">
        <v>9000</v>
      </c>
      <c r="H13" s="77">
        <v>12200</v>
      </c>
      <c r="I13" s="41">
        <f t="shared" si="0"/>
        <v>21200</v>
      </c>
      <c r="J13" s="81"/>
    </row>
    <row r="14" spans="1:19" x14ac:dyDescent="0.25">
      <c r="A14" s="76">
        <v>16</v>
      </c>
      <c r="B14" s="76" t="s">
        <v>576</v>
      </c>
      <c r="C14" s="76"/>
      <c r="D14" s="76"/>
      <c r="E14" s="76">
        <v>4124</v>
      </c>
      <c r="F14" s="76"/>
      <c r="G14" s="77">
        <v>9000</v>
      </c>
      <c r="H14" s="77">
        <v>10878</v>
      </c>
      <c r="I14" s="41">
        <f t="shared" si="0"/>
        <v>19878</v>
      </c>
      <c r="J14" s="81"/>
    </row>
    <row r="15" spans="1:19" x14ac:dyDescent="0.25">
      <c r="A15" s="76">
        <v>17</v>
      </c>
      <c r="B15" s="76" t="s">
        <v>558</v>
      </c>
      <c r="C15" s="76"/>
      <c r="D15" s="76"/>
      <c r="E15" s="76">
        <v>4091</v>
      </c>
      <c r="F15" s="76"/>
      <c r="G15" s="77">
        <v>9000</v>
      </c>
      <c r="H15" s="77">
        <v>10000</v>
      </c>
      <c r="I15" s="41">
        <f t="shared" si="0"/>
        <v>19000</v>
      </c>
      <c r="J15" s="81"/>
    </row>
    <row r="16" spans="1:19" x14ac:dyDescent="0.25">
      <c r="A16" s="76">
        <v>15</v>
      </c>
      <c r="B16" s="76" t="s">
        <v>588</v>
      </c>
      <c r="C16" s="76"/>
      <c r="D16" s="76"/>
      <c r="E16" s="76">
        <v>4127</v>
      </c>
      <c r="F16" s="76"/>
      <c r="G16" s="77">
        <v>9000</v>
      </c>
      <c r="H16" s="77">
        <v>8520</v>
      </c>
      <c r="I16" s="41">
        <f t="shared" si="0"/>
        <v>17520</v>
      </c>
      <c r="J16" s="81"/>
    </row>
    <row r="17" spans="1:12" x14ac:dyDescent="0.25">
      <c r="A17" s="76">
        <v>18</v>
      </c>
      <c r="B17" s="76" t="s">
        <v>565</v>
      </c>
      <c r="C17" s="76"/>
      <c r="D17" s="76"/>
      <c r="E17" s="76">
        <v>4100</v>
      </c>
      <c r="F17" s="76"/>
      <c r="G17" s="77">
        <v>9000</v>
      </c>
      <c r="H17" s="77">
        <v>7175</v>
      </c>
      <c r="I17" s="41">
        <f t="shared" si="0"/>
        <v>16175</v>
      </c>
      <c r="J17" s="81"/>
    </row>
    <row r="18" spans="1:12" x14ac:dyDescent="0.25">
      <c r="A18" s="76">
        <v>19</v>
      </c>
      <c r="B18" s="76" t="s">
        <v>773</v>
      </c>
      <c r="C18" s="76"/>
      <c r="D18" s="76"/>
      <c r="E18" s="76">
        <v>4051</v>
      </c>
      <c r="F18" s="76"/>
      <c r="G18" s="77">
        <v>9000</v>
      </c>
      <c r="H18" s="77">
        <v>5970</v>
      </c>
      <c r="I18" s="41">
        <f t="shared" si="0"/>
        <v>14970</v>
      </c>
      <c r="J18" s="81"/>
    </row>
    <row r="19" spans="1:12" x14ac:dyDescent="0.25">
      <c r="A19" s="76">
        <v>20</v>
      </c>
      <c r="B19" s="76" t="s">
        <v>575</v>
      </c>
      <c r="C19" s="76"/>
      <c r="D19" s="76" t="s">
        <v>248</v>
      </c>
      <c r="E19" s="76">
        <v>4123</v>
      </c>
      <c r="F19" s="76"/>
      <c r="G19" s="77">
        <v>9000</v>
      </c>
      <c r="H19" s="77">
        <v>5100</v>
      </c>
      <c r="I19" s="41">
        <f t="shared" si="0"/>
        <v>14100</v>
      </c>
      <c r="J19" s="81"/>
    </row>
    <row r="20" spans="1:12" x14ac:dyDescent="0.25">
      <c r="A20" s="76">
        <v>21</v>
      </c>
      <c r="B20" s="76" t="s">
        <v>805</v>
      </c>
      <c r="C20" s="76"/>
      <c r="D20" s="76"/>
      <c r="E20" s="76">
        <v>3985</v>
      </c>
      <c r="F20" s="76"/>
      <c r="G20" s="77">
        <v>9000</v>
      </c>
      <c r="H20" s="77">
        <v>4440</v>
      </c>
      <c r="I20" s="41">
        <f t="shared" si="0"/>
        <v>13440</v>
      </c>
      <c r="J20" s="81"/>
    </row>
    <row r="21" spans="1:12" x14ac:dyDescent="0.25">
      <c r="A21" s="76">
        <v>23</v>
      </c>
      <c r="B21" s="76" t="s">
        <v>581</v>
      </c>
      <c r="C21" s="76"/>
      <c r="D21" s="76"/>
      <c r="E21" s="76">
        <v>4129</v>
      </c>
      <c r="F21" s="76"/>
      <c r="G21" s="77">
        <v>9000</v>
      </c>
      <c r="H21" s="77">
        <v>2550</v>
      </c>
      <c r="I21" s="41">
        <f t="shared" si="0"/>
        <v>11550</v>
      </c>
      <c r="J21" s="81"/>
    </row>
    <row r="22" spans="1:12" x14ac:dyDescent="0.25">
      <c r="A22" s="76">
        <v>26</v>
      </c>
      <c r="B22" s="76" t="s">
        <v>580</v>
      </c>
      <c r="C22" s="76"/>
      <c r="D22" s="76"/>
      <c r="E22" s="76">
        <v>4128</v>
      </c>
      <c r="F22" s="76"/>
      <c r="G22" s="77">
        <v>7000</v>
      </c>
      <c r="H22" s="77">
        <v>0</v>
      </c>
      <c r="I22" s="41">
        <f t="shared" si="0"/>
        <v>7000</v>
      </c>
      <c r="J22" s="81"/>
    </row>
    <row r="23" spans="1:12" x14ac:dyDescent="0.25">
      <c r="A23" s="76">
        <v>30</v>
      </c>
      <c r="B23" s="76" t="s">
        <v>623</v>
      </c>
      <c r="C23" s="76"/>
      <c r="D23" s="76"/>
      <c r="E23" s="76">
        <v>4161</v>
      </c>
      <c r="F23" s="76"/>
      <c r="G23" s="77">
        <v>5175</v>
      </c>
      <c r="H23" s="77">
        <v>0</v>
      </c>
      <c r="I23" s="41">
        <f t="shared" si="0"/>
        <v>5175</v>
      </c>
      <c r="J23" s="81"/>
    </row>
    <row r="24" spans="1:12" x14ac:dyDescent="0.25">
      <c r="A24" s="76">
        <v>33</v>
      </c>
      <c r="B24" s="76" t="s">
        <v>584</v>
      </c>
      <c r="C24" s="76"/>
      <c r="D24" s="76"/>
      <c r="E24" s="76">
        <v>4132</v>
      </c>
      <c r="F24" s="76"/>
      <c r="G24" s="77">
        <v>3300</v>
      </c>
      <c r="H24" s="77">
        <v>0</v>
      </c>
      <c r="I24" s="41">
        <f t="shared" si="0"/>
        <v>3300</v>
      </c>
      <c r="J24" s="81"/>
    </row>
    <row r="25" spans="1:12" x14ac:dyDescent="0.25">
      <c r="A25" s="76">
        <v>34</v>
      </c>
      <c r="B25" s="76" t="s">
        <v>858</v>
      </c>
      <c r="C25" s="76"/>
      <c r="D25" s="76"/>
      <c r="E25" s="76">
        <v>4476</v>
      </c>
      <c r="F25" s="76" t="s">
        <v>0</v>
      </c>
      <c r="G25" s="77">
        <v>3000</v>
      </c>
      <c r="H25" s="77">
        <v>0</v>
      </c>
      <c r="I25" s="41">
        <f t="shared" si="0"/>
        <v>3000</v>
      </c>
      <c r="J25" s="81"/>
    </row>
    <row r="26" spans="1:12" x14ac:dyDescent="0.25">
      <c r="A26" s="76">
        <v>35</v>
      </c>
      <c r="B26" s="76" t="s">
        <v>621</v>
      </c>
      <c r="C26" s="76"/>
      <c r="D26" s="76"/>
      <c r="E26" s="76">
        <v>4178</v>
      </c>
      <c r="F26" s="76"/>
      <c r="G26" s="77">
        <v>2560</v>
      </c>
      <c r="H26" s="77">
        <v>0</v>
      </c>
      <c r="I26" s="41">
        <f t="shared" si="0"/>
        <v>2560</v>
      </c>
      <c r="J26" s="81"/>
    </row>
    <row r="27" spans="1:12" x14ac:dyDescent="0.25">
      <c r="A27" s="76">
        <v>27</v>
      </c>
      <c r="B27" s="76" t="s">
        <v>563</v>
      </c>
      <c r="C27" s="76"/>
      <c r="D27" s="76"/>
      <c r="E27" s="76">
        <v>4098</v>
      </c>
      <c r="F27" s="76" t="s">
        <v>0</v>
      </c>
      <c r="G27" s="77">
        <v>2470</v>
      </c>
      <c r="H27" s="77">
        <v>0</v>
      </c>
      <c r="I27" s="41">
        <f t="shared" si="0"/>
        <v>2470</v>
      </c>
      <c r="J27" s="81"/>
    </row>
    <row r="28" spans="1:12" x14ac:dyDescent="0.25">
      <c r="A28" s="76">
        <v>32</v>
      </c>
      <c r="B28" s="76" t="s">
        <v>571</v>
      </c>
      <c r="C28" s="76"/>
      <c r="D28" s="76"/>
      <c r="E28" s="76">
        <v>4106</v>
      </c>
      <c r="F28" s="76"/>
      <c r="G28" s="77">
        <v>1700</v>
      </c>
      <c r="H28" s="77">
        <v>0</v>
      </c>
      <c r="I28" s="41">
        <f t="shared" si="0"/>
        <v>1700</v>
      </c>
      <c r="J28" s="81"/>
    </row>
    <row r="29" spans="1:12" x14ac:dyDescent="0.25">
      <c r="A29" s="76">
        <v>22</v>
      </c>
      <c r="B29" s="76" t="s">
        <v>600</v>
      </c>
      <c r="C29" s="76"/>
      <c r="D29" s="76"/>
      <c r="E29" s="76">
        <v>4146</v>
      </c>
      <c r="F29" s="76" t="s">
        <v>0</v>
      </c>
      <c r="G29" s="77">
        <v>1200</v>
      </c>
      <c r="H29" s="77">
        <v>0</v>
      </c>
      <c r="I29" s="41">
        <f t="shared" si="0"/>
        <v>1200</v>
      </c>
      <c r="J29" s="81"/>
    </row>
    <row r="30" spans="1:12" x14ac:dyDescent="0.25">
      <c r="A30" s="76">
        <v>38</v>
      </c>
      <c r="B30" s="76" t="s">
        <v>585</v>
      </c>
      <c r="C30" s="76"/>
      <c r="D30" s="76" t="s">
        <v>441</v>
      </c>
      <c r="E30" s="76">
        <v>4137</v>
      </c>
      <c r="F30" s="76"/>
      <c r="G30" s="77">
        <v>570</v>
      </c>
      <c r="H30" s="77">
        <v>0</v>
      </c>
      <c r="I30" s="41">
        <f t="shared" si="0"/>
        <v>570</v>
      </c>
      <c r="J30" s="81"/>
    </row>
    <row r="31" spans="1:12" x14ac:dyDescent="0.25">
      <c r="A31" s="76">
        <v>39</v>
      </c>
      <c r="B31" s="76" t="s">
        <v>601</v>
      </c>
      <c r="C31" s="76"/>
      <c r="D31" s="76"/>
      <c r="E31" s="76">
        <v>4147</v>
      </c>
      <c r="F31" s="76" t="s">
        <v>0</v>
      </c>
      <c r="G31" s="77">
        <v>20</v>
      </c>
      <c r="H31" s="77">
        <v>0</v>
      </c>
      <c r="I31" s="41">
        <f t="shared" si="0"/>
        <v>20</v>
      </c>
      <c r="J31" s="81"/>
      <c r="L31" s="112"/>
    </row>
    <row r="32" spans="1:12" x14ac:dyDescent="0.25">
      <c r="A32" s="76">
        <v>13</v>
      </c>
      <c r="B32" s="76" t="s">
        <v>622</v>
      </c>
      <c r="C32" s="76"/>
      <c r="D32" s="76"/>
      <c r="E32" s="76">
        <v>4182</v>
      </c>
      <c r="F32" s="76" t="s">
        <v>0</v>
      </c>
      <c r="G32" s="77">
        <v>0</v>
      </c>
      <c r="H32" s="77">
        <v>0</v>
      </c>
      <c r="I32" s="41">
        <f t="shared" si="0"/>
        <v>0</v>
      </c>
      <c r="J32" s="81"/>
    </row>
    <row r="33" spans="1:15" x14ac:dyDescent="0.25">
      <c r="A33" s="76">
        <v>36</v>
      </c>
      <c r="B33" s="76" t="s">
        <v>602</v>
      </c>
      <c r="C33" s="76"/>
      <c r="D33" s="76"/>
      <c r="E33" s="76">
        <v>4149</v>
      </c>
      <c r="F33" s="76"/>
      <c r="G33" s="77">
        <v>0</v>
      </c>
      <c r="H33" s="77">
        <v>0</v>
      </c>
      <c r="I33" s="41">
        <f t="shared" si="0"/>
        <v>0</v>
      </c>
      <c r="J33" s="40"/>
    </row>
    <row r="34" spans="1:15" x14ac:dyDescent="0.25">
      <c r="A34" s="76">
        <v>31</v>
      </c>
      <c r="B34" s="76" t="s">
        <v>577</v>
      </c>
      <c r="C34" s="76"/>
      <c r="D34" s="76"/>
      <c r="E34" s="76">
        <v>4125</v>
      </c>
      <c r="F34" s="76"/>
      <c r="G34" s="77">
        <v>0</v>
      </c>
      <c r="H34" s="77">
        <v>0</v>
      </c>
      <c r="I34" s="41">
        <f t="shared" si="0"/>
        <v>0</v>
      </c>
      <c r="J34" s="81"/>
    </row>
    <row r="35" spans="1:15" x14ac:dyDescent="0.25">
      <c r="A35" s="76">
        <v>45</v>
      </c>
      <c r="B35" s="76" t="s">
        <v>627</v>
      </c>
      <c r="C35" s="76"/>
      <c r="D35" s="76"/>
      <c r="E35" s="76">
        <v>4164</v>
      </c>
      <c r="F35" s="76" t="s">
        <v>0</v>
      </c>
      <c r="G35" s="77">
        <v>0</v>
      </c>
      <c r="H35" s="77">
        <v>0</v>
      </c>
      <c r="I35" s="41">
        <f t="shared" si="0"/>
        <v>0</v>
      </c>
      <c r="J35" s="81"/>
    </row>
    <row r="36" spans="1:15" x14ac:dyDescent="0.25">
      <c r="A36" s="76">
        <v>25</v>
      </c>
      <c r="B36" s="76" t="s">
        <v>740</v>
      </c>
      <c r="C36" s="76"/>
      <c r="D36" s="76"/>
      <c r="E36" s="76">
        <v>4299</v>
      </c>
      <c r="F36" s="76" t="s">
        <v>0</v>
      </c>
      <c r="G36" s="77">
        <v>0</v>
      </c>
      <c r="H36" s="77">
        <v>0</v>
      </c>
      <c r="I36" s="41">
        <f t="shared" si="0"/>
        <v>0</v>
      </c>
      <c r="J36" s="81"/>
    </row>
    <row r="37" spans="1:15" x14ac:dyDescent="0.25">
      <c r="A37" s="76">
        <v>28</v>
      </c>
      <c r="B37" s="76" t="s">
        <v>612</v>
      </c>
      <c r="C37" s="76"/>
      <c r="D37" s="76"/>
      <c r="E37" s="76">
        <v>4166</v>
      </c>
      <c r="F37" s="76"/>
      <c r="G37" s="77">
        <v>0</v>
      </c>
      <c r="H37" s="77">
        <v>0</v>
      </c>
      <c r="I37" s="41">
        <f t="shared" si="0"/>
        <v>0</v>
      </c>
      <c r="J37" s="81"/>
    </row>
    <row r="38" spans="1:15" x14ac:dyDescent="0.25">
      <c r="A38" s="76">
        <v>29</v>
      </c>
      <c r="B38" s="76" t="s">
        <v>650</v>
      </c>
      <c r="C38" s="76"/>
      <c r="D38" s="76"/>
      <c r="E38" s="76">
        <v>4200</v>
      </c>
      <c r="F38" s="76" t="s">
        <v>0</v>
      </c>
      <c r="G38" s="77">
        <v>0</v>
      </c>
      <c r="H38" s="77">
        <v>0</v>
      </c>
      <c r="I38" s="41">
        <f t="shared" si="0"/>
        <v>0</v>
      </c>
      <c r="J38" s="81"/>
    </row>
    <row r="39" spans="1:15" x14ac:dyDescent="0.25">
      <c r="A39" s="76">
        <v>37</v>
      </c>
      <c r="B39" s="76" t="s">
        <v>791</v>
      </c>
      <c r="C39" s="76"/>
      <c r="D39" s="76"/>
      <c r="E39" s="76">
        <v>4069</v>
      </c>
      <c r="F39" s="76"/>
      <c r="G39" s="77">
        <v>0</v>
      </c>
      <c r="H39" s="77">
        <v>0</v>
      </c>
      <c r="I39" s="41">
        <f t="shared" si="0"/>
        <v>0</v>
      </c>
      <c r="J39" s="81"/>
      <c r="O39" t="s">
        <v>2</v>
      </c>
    </row>
    <row r="40" spans="1:15" x14ac:dyDescent="0.25">
      <c r="A40" s="76">
        <v>24</v>
      </c>
      <c r="B40" s="76" t="s">
        <v>604</v>
      </c>
      <c r="C40" s="76"/>
      <c r="D40" s="76" t="s">
        <v>199</v>
      </c>
      <c r="E40" s="76">
        <v>4150</v>
      </c>
      <c r="F40" s="76" t="s">
        <v>0</v>
      </c>
      <c r="G40" s="77">
        <v>0</v>
      </c>
      <c r="H40" s="77">
        <v>0</v>
      </c>
      <c r="I40" s="41">
        <f t="shared" si="0"/>
        <v>0</v>
      </c>
      <c r="J40" s="81"/>
    </row>
    <row r="41" spans="1:15" x14ac:dyDescent="0.25">
      <c r="A41" s="76">
        <v>40</v>
      </c>
      <c r="B41" s="76" t="s">
        <v>568</v>
      </c>
      <c r="C41" s="76"/>
      <c r="D41" s="76"/>
      <c r="E41" s="76">
        <v>4104</v>
      </c>
      <c r="F41" s="76"/>
      <c r="G41" s="77">
        <v>0</v>
      </c>
      <c r="H41" s="77">
        <v>0</v>
      </c>
      <c r="I41" s="41">
        <f t="shared" si="0"/>
        <v>0</v>
      </c>
      <c r="J41" s="81"/>
    </row>
    <row r="42" spans="1:15" x14ac:dyDescent="0.25">
      <c r="A42" s="76">
        <v>41</v>
      </c>
      <c r="B42" s="76" t="s">
        <v>729</v>
      </c>
      <c r="C42" s="76"/>
      <c r="D42" s="76"/>
      <c r="E42" s="76">
        <v>4291</v>
      </c>
      <c r="F42" s="76" t="s">
        <v>0</v>
      </c>
      <c r="G42" s="77">
        <v>0</v>
      </c>
      <c r="H42" s="77">
        <v>0</v>
      </c>
      <c r="I42" s="41">
        <f t="shared" si="0"/>
        <v>0</v>
      </c>
      <c r="J42" s="81"/>
    </row>
    <row r="43" spans="1:15" x14ac:dyDescent="0.25">
      <c r="A43" s="76">
        <v>42</v>
      </c>
      <c r="B43" s="76" t="s">
        <v>556</v>
      </c>
      <c r="C43" s="76"/>
      <c r="D43" s="76"/>
      <c r="E43" s="76">
        <v>4089</v>
      </c>
      <c r="F43" s="76"/>
      <c r="G43" s="77">
        <v>0</v>
      </c>
      <c r="H43" s="77">
        <v>0</v>
      </c>
      <c r="I43" s="41">
        <f t="shared" si="0"/>
        <v>0</v>
      </c>
      <c r="J43" s="81"/>
    </row>
    <row r="44" spans="1:15" x14ac:dyDescent="0.25">
      <c r="A44" s="76">
        <v>43</v>
      </c>
      <c r="B44" s="76" t="s">
        <v>597</v>
      </c>
      <c r="C44" s="76"/>
      <c r="D44" s="76"/>
      <c r="E44" s="76">
        <v>4143</v>
      </c>
      <c r="F44" s="76"/>
      <c r="G44" s="77">
        <v>0</v>
      </c>
      <c r="H44" s="77">
        <v>0</v>
      </c>
      <c r="I44" s="41">
        <f t="shared" si="0"/>
        <v>0</v>
      </c>
      <c r="J44" s="81"/>
      <c r="K44" t="s">
        <v>327</v>
      </c>
    </row>
    <row r="45" spans="1:15" x14ac:dyDescent="0.25">
      <c r="A45" s="76">
        <v>44</v>
      </c>
      <c r="B45" s="76" t="s">
        <v>570</v>
      </c>
      <c r="C45" s="76" t="s">
        <v>229</v>
      </c>
      <c r="D45" s="76"/>
      <c r="E45" s="76">
        <v>4109</v>
      </c>
      <c r="F45" s="76"/>
      <c r="G45" s="77">
        <v>0</v>
      </c>
      <c r="H45" s="77">
        <v>0</v>
      </c>
      <c r="I45" s="41">
        <f t="shared" si="0"/>
        <v>0</v>
      </c>
      <c r="J45" s="81"/>
    </row>
    <row r="46" spans="1:15" s="1" customFormat="1" x14ac:dyDescent="0.25">
      <c r="A46" s="80"/>
      <c r="B46" s="80" t="s">
        <v>57</v>
      </c>
      <c r="C46" s="80"/>
      <c r="D46" s="80"/>
      <c r="E46" s="80"/>
      <c r="F46" s="80"/>
      <c r="G46" s="91">
        <f>SUM(G3:G45)</f>
        <v>218995</v>
      </c>
      <c r="H46" s="91">
        <f>SUM(H3:H45)</f>
        <v>239893</v>
      </c>
      <c r="I46" s="43">
        <f t="shared" ref="I46" si="1">SUM(G46:H46)</f>
        <v>458888</v>
      </c>
      <c r="J46" s="66"/>
    </row>
  </sheetData>
  <sortState ref="A3:I47">
    <sortCondition descending="1" ref="I3:I47"/>
  </sortState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B46"/>
  <sheetViews>
    <sheetView topLeftCell="A15" workbookViewId="0">
      <selection activeCell="K29" sqref="K29"/>
    </sheetView>
  </sheetViews>
  <sheetFormatPr defaultRowHeight="15" x14ac:dyDescent="0.25"/>
  <cols>
    <col min="1" max="1" width="4.140625" customWidth="1"/>
    <col min="4" max="4" width="13.42578125" customWidth="1"/>
    <col min="5" max="5" width="7.140625" customWidth="1"/>
    <col min="6" max="6" width="2.42578125" customWidth="1"/>
    <col min="7" max="7" width="11.140625" customWidth="1"/>
    <col min="8" max="8" width="12.42578125" customWidth="1"/>
    <col min="9" max="9" width="11" customWidth="1"/>
  </cols>
  <sheetData>
    <row r="1" spans="1:28" x14ac:dyDescent="0.25">
      <c r="F1" s="99"/>
    </row>
    <row r="2" spans="1:28" s="100" customFormat="1" ht="15.75" x14ac:dyDescent="0.25">
      <c r="A2" s="73" t="s">
        <v>2</v>
      </c>
      <c r="B2" s="73" t="s">
        <v>1013</v>
      </c>
      <c r="C2" s="73"/>
      <c r="D2" s="73"/>
      <c r="E2" s="73"/>
      <c r="F2" s="73"/>
      <c r="G2" s="73"/>
      <c r="H2" s="73"/>
      <c r="I2" s="73"/>
      <c r="J2" s="101"/>
    </row>
    <row r="3" spans="1:28" s="100" customFormat="1" ht="15.75" x14ac:dyDescent="0.25">
      <c r="A3" s="118" t="s">
        <v>437</v>
      </c>
      <c r="B3" s="118"/>
      <c r="C3" s="118" t="s">
        <v>116</v>
      </c>
      <c r="D3" s="118"/>
      <c r="E3" s="118" t="s">
        <v>726</v>
      </c>
      <c r="F3" s="118"/>
      <c r="G3" s="118" t="s">
        <v>114</v>
      </c>
      <c r="H3" s="118" t="s">
        <v>4</v>
      </c>
      <c r="I3" s="118" t="s">
        <v>113</v>
      </c>
      <c r="J3" s="101"/>
    </row>
    <row r="4" spans="1:28" s="108" customFormat="1" ht="15.75" x14ac:dyDescent="0.25">
      <c r="A4" s="97">
        <v>2</v>
      </c>
      <c r="B4" s="81" t="s">
        <v>684</v>
      </c>
      <c r="C4" s="81"/>
      <c r="D4" s="81"/>
      <c r="E4" s="81">
        <v>4252</v>
      </c>
      <c r="F4" s="81" t="s">
        <v>0</v>
      </c>
      <c r="G4" s="82">
        <v>24590</v>
      </c>
      <c r="H4" s="82">
        <v>0</v>
      </c>
      <c r="I4" s="109">
        <f t="shared" ref="I4:I36" si="0">SUM(G4:H4)</f>
        <v>24590</v>
      </c>
    </row>
    <row r="5" spans="1:28" ht="15.75" x14ac:dyDescent="0.25">
      <c r="A5" s="97">
        <v>3</v>
      </c>
      <c r="B5" s="81" t="s">
        <v>701</v>
      </c>
      <c r="C5" s="81"/>
      <c r="D5" s="81"/>
      <c r="E5" s="81">
        <v>4272</v>
      </c>
      <c r="F5" s="81"/>
      <c r="G5" s="82">
        <v>9000</v>
      </c>
      <c r="H5" s="82">
        <v>26000</v>
      </c>
      <c r="I5" s="109">
        <f t="shared" si="0"/>
        <v>35000</v>
      </c>
    </row>
    <row r="6" spans="1:28" ht="15.75" x14ac:dyDescent="0.25">
      <c r="A6" s="97">
        <v>4</v>
      </c>
      <c r="B6" s="81" t="s">
        <v>678</v>
      </c>
      <c r="C6" s="81"/>
      <c r="D6" s="81"/>
      <c r="E6" s="81">
        <v>4244</v>
      </c>
      <c r="F6" s="81"/>
      <c r="G6" s="82">
        <v>9000</v>
      </c>
      <c r="H6" s="82">
        <v>25000</v>
      </c>
      <c r="I6" s="109">
        <f t="shared" si="0"/>
        <v>34000</v>
      </c>
      <c r="AB6" s="117"/>
    </row>
    <row r="7" spans="1:28" ht="15.75" x14ac:dyDescent="0.25">
      <c r="A7" s="97">
        <v>1</v>
      </c>
      <c r="B7" s="81" t="s">
        <v>878</v>
      </c>
      <c r="C7" s="81"/>
      <c r="D7" s="81"/>
      <c r="E7" s="81">
        <v>4214</v>
      </c>
      <c r="F7" s="81" t="s">
        <v>0</v>
      </c>
      <c r="G7" s="82">
        <v>30000</v>
      </c>
      <c r="H7" s="82">
        <v>1270</v>
      </c>
      <c r="I7" s="109">
        <f t="shared" si="0"/>
        <v>31270</v>
      </c>
      <c r="AB7" s="117"/>
    </row>
    <row r="8" spans="1:28" ht="15.75" x14ac:dyDescent="0.25">
      <c r="A8" s="97">
        <v>6</v>
      </c>
      <c r="B8" s="81" t="s">
        <v>666</v>
      </c>
      <c r="C8" s="81"/>
      <c r="D8" s="81"/>
      <c r="E8" s="81">
        <v>4231</v>
      </c>
      <c r="F8" s="81"/>
      <c r="G8" s="82">
        <v>9000</v>
      </c>
      <c r="H8" s="82">
        <v>20500</v>
      </c>
      <c r="I8" s="109">
        <f t="shared" si="0"/>
        <v>29500</v>
      </c>
      <c r="AB8" s="117"/>
    </row>
    <row r="9" spans="1:28" ht="15.75" x14ac:dyDescent="0.25">
      <c r="A9" s="97">
        <v>7</v>
      </c>
      <c r="B9" s="81" t="s">
        <v>561</v>
      </c>
      <c r="C9" s="81"/>
      <c r="D9" s="81"/>
      <c r="E9" s="81">
        <v>4096</v>
      </c>
      <c r="F9" s="81"/>
      <c r="G9" s="82">
        <v>9000</v>
      </c>
      <c r="H9" s="82">
        <v>19400</v>
      </c>
      <c r="I9" s="109">
        <f t="shared" si="0"/>
        <v>28400</v>
      </c>
    </row>
    <row r="10" spans="1:28" ht="15.75" x14ac:dyDescent="0.25">
      <c r="A10" s="97">
        <v>8</v>
      </c>
      <c r="B10" s="81" t="s">
        <v>596</v>
      </c>
      <c r="C10" s="81"/>
      <c r="D10" s="81"/>
      <c r="E10" s="81">
        <v>4140</v>
      </c>
      <c r="F10" s="81"/>
      <c r="G10" s="82">
        <v>9000</v>
      </c>
      <c r="H10" s="82">
        <v>19200</v>
      </c>
      <c r="I10" s="109">
        <f t="shared" si="0"/>
        <v>28200</v>
      </c>
    </row>
    <row r="11" spans="1:28" ht="15.75" x14ac:dyDescent="0.25">
      <c r="A11" s="97">
        <v>9</v>
      </c>
      <c r="B11" s="81" t="s">
        <v>704</v>
      </c>
      <c r="C11" s="81"/>
      <c r="D11" s="81"/>
      <c r="E11" s="81">
        <v>4274</v>
      </c>
      <c r="F11" s="81"/>
      <c r="G11" s="82">
        <v>9000</v>
      </c>
      <c r="H11" s="82">
        <v>19150</v>
      </c>
      <c r="I11" s="109">
        <f t="shared" si="0"/>
        <v>28150</v>
      </c>
    </row>
    <row r="12" spans="1:28" ht="15.75" x14ac:dyDescent="0.25">
      <c r="A12" s="97">
        <v>10</v>
      </c>
      <c r="B12" s="81" t="s">
        <v>702</v>
      </c>
      <c r="C12" s="81"/>
      <c r="D12" s="81"/>
      <c r="E12" s="81">
        <v>4276</v>
      </c>
      <c r="F12" s="81"/>
      <c r="G12" s="82">
        <v>9000</v>
      </c>
      <c r="H12" s="82">
        <v>17013</v>
      </c>
      <c r="I12" s="109">
        <f t="shared" si="0"/>
        <v>26013</v>
      </c>
    </row>
    <row r="13" spans="1:28" ht="15.75" x14ac:dyDescent="0.25">
      <c r="A13" s="97">
        <v>5</v>
      </c>
      <c r="B13" s="81" t="s">
        <v>956</v>
      </c>
      <c r="C13" s="81"/>
      <c r="D13" s="81"/>
      <c r="E13" s="81">
        <v>4286</v>
      </c>
      <c r="F13" s="81"/>
      <c r="G13" s="82">
        <v>9000</v>
      </c>
      <c r="H13" s="82">
        <v>17000</v>
      </c>
      <c r="I13" s="109">
        <f t="shared" si="0"/>
        <v>26000</v>
      </c>
    </row>
    <row r="14" spans="1:28" ht="15.75" x14ac:dyDescent="0.25">
      <c r="A14" s="97">
        <v>12</v>
      </c>
      <c r="B14" s="81" t="s">
        <v>676</v>
      </c>
      <c r="C14" s="81"/>
      <c r="D14" s="81"/>
      <c r="E14" s="81">
        <v>4243</v>
      </c>
      <c r="F14" s="81"/>
      <c r="G14" s="82">
        <v>9000</v>
      </c>
      <c r="H14" s="82">
        <v>16300</v>
      </c>
      <c r="I14" s="109">
        <f t="shared" si="0"/>
        <v>25300</v>
      </c>
    </row>
    <row r="15" spans="1:28" ht="15.75" x14ac:dyDescent="0.25">
      <c r="A15" s="97">
        <v>11</v>
      </c>
      <c r="B15" s="81" t="s">
        <v>785</v>
      </c>
      <c r="C15" s="81"/>
      <c r="D15" s="81"/>
      <c r="E15" s="81">
        <v>4284</v>
      </c>
      <c r="F15" s="81"/>
      <c r="G15" s="82">
        <v>9000</v>
      </c>
      <c r="H15" s="82">
        <v>13000</v>
      </c>
      <c r="I15" s="109">
        <f t="shared" si="0"/>
        <v>22000</v>
      </c>
    </row>
    <row r="16" spans="1:28" ht="15.75" x14ac:dyDescent="0.25">
      <c r="A16" s="97">
        <v>13</v>
      </c>
      <c r="B16" s="81" t="s">
        <v>691</v>
      </c>
      <c r="C16" s="81"/>
      <c r="D16" s="81"/>
      <c r="E16" s="81">
        <v>4262</v>
      </c>
      <c r="F16" s="81"/>
      <c r="G16" s="82">
        <v>9000</v>
      </c>
      <c r="H16" s="82">
        <v>10810</v>
      </c>
      <c r="I16" s="109">
        <f t="shared" si="0"/>
        <v>19810</v>
      </c>
    </row>
    <row r="17" spans="1:19" ht="15.75" x14ac:dyDescent="0.25">
      <c r="A17" s="97">
        <v>15</v>
      </c>
      <c r="B17" s="81" t="s">
        <v>657</v>
      </c>
      <c r="C17" s="81"/>
      <c r="D17" s="81"/>
      <c r="E17" s="81">
        <v>4212</v>
      </c>
      <c r="F17" s="81" t="s">
        <v>0</v>
      </c>
      <c r="G17" s="82">
        <v>16320</v>
      </c>
      <c r="H17" s="82">
        <v>0</v>
      </c>
      <c r="I17" s="109">
        <f t="shared" si="0"/>
        <v>16320</v>
      </c>
    </row>
    <row r="18" spans="1:19" ht="15.75" x14ac:dyDescent="0.25">
      <c r="A18" s="97">
        <v>26</v>
      </c>
      <c r="B18" s="81" t="s">
        <v>659</v>
      </c>
      <c r="C18" s="81"/>
      <c r="D18" s="81"/>
      <c r="E18" s="81">
        <v>4219</v>
      </c>
      <c r="F18" s="81" t="s">
        <v>0</v>
      </c>
      <c r="G18" s="109">
        <v>15763</v>
      </c>
      <c r="H18" s="109">
        <v>0</v>
      </c>
      <c r="I18" s="109">
        <f t="shared" si="0"/>
        <v>15763</v>
      </c>
    </row>
    <row r="19" spans="1:19" ht="15.75" x14ac:dyDescent="0.25">
      <c r="A19" s="97">
        <v>16</v>
      </c>
      <c r="B19" s="81" t="s">
        <v>868</v>
      </c>
      <c r="C19" s="81"/>
      <c r="D19" s="81"/>
      <c r="E19" s="81">
        <v>4480</v>
      </c>
      <c r="F19" s="81"/>
      <c r="G19" s="109">
        <v>9000</v>
      </c>
      <c r="H19" s="105">
        <v>6650</v>
      </c>
      <c r="I19" s="109">
        <f t="shared" si="0"/>
        <v>15650</v>
      </c>
    </row>
    <row r="20" spans="1:19" ht="15.75" x14ac:dyDescent="0.25">
      <c r="A20" s="97">
        <v>14</v>
      </c>
      <c r="B20" s="81" t="s">
        <v>672</v>
      </c>
      <c r="C20" s="81"/>
      <c r="D20" s="81"/>
      <c r="E20" s="81">
        <v>4235</v>
      </c>
      <c r="F20" s="81" t="s">
        <v>0</v>
      </c>
      <c r="G20" s="109">
        <v>13405</v>
      </c>
      <c r="H20" s="82">
        <v>0</v>
      </c>
      <c r="I20" s="109">
        <f t="shared" si="0"/>
        <v>13405</v>
      </c>
    </row>
    <row r="21" spans="1:19" ht="15.75" x14ac:dyDescent="0.25">
      <c r="A21" s="97">
        <v>28</v>
      </c>
      <c r="B21" s="81" t="s">
        <v>682</v>
      </c>
      <c r="C21" s="81"/>
      <c r="D21" s="81"/>
      <c r="E21" s="81">
        <v>4251</v>
      </c>
      <c r="F21" s="81"/>
      <c r="G21" s="109">
        <v>3000</v>
      </c>
      <c r="H21" s="105">
        <v>0</v>
      </c>
      <c r="I21" s="109">
        <f t="shared" si="0"/>
        <v>3000</v>
      </c>
    </row>
    <row r="22" spans="1:19" s="71" customFormat="1" ht="15.75" x14ac:dyDescent="0.25">
      <c r="A22" s="97">
        <v>19</v>
      </c>
      <c r="B22" s="81" t="s">
        <v>695</v>
      </c>
      <c r="C22" s="81"/>
      <c r="D22" s="81"/>
      <c r="E22" s="81">
        <v>4247</v>
      </c>
      <c r="F22" s="81" t="s">
        <v>0</v>
      </c>
      <c r="G22" s="109">
        <v>12750</v>
      </c>
      <c r="H22" s="105">
        <v>0</v>
      </c>
      <c r="I22" s="109">
        <f t="shared" si="0"/>
        <v>12750</v>
      </c>
    </row>
    <row r="23" spans="1:19" ht="15.75" x14ac:dyDescent="0.25">
      <c r="A23" s="97">
        <v>20</v>
      </c>
      <c r="B23" s="81" t="s">
        <v>700</v>
      </c>
      <c r="C23" s="81"/>
      <c r="D23" s="81"/>
      <c r="E23" s="81">
        <v>4271</v>
      </c>
      <c r="F23" s="81"/>
      <c r="G23" s="109">
        <v>9000</v>
      </c>
      <c r="H23" s="105">
        <v>3320</v>
      </c>
      <c r="I23" s="109">
        <f t="shared" si="0"/>
        <v>12320</v>
      </c>
      <c r="S23" t="s">
        <v>2</v>
      </c>
    </row>
    <row r="24" spans="1:19" ht="15.75" x14ac:dyDescent="0.25">
      <c r="A24" s="97">
        <v>22</v>
      </c>
      <c r="B24" s="81" t="s">
        <v>663</v>
      </c>
      <c r="C24" s="81"/>
      <c r="D24" s="81"/>
      <c r="E24" s="81">
        <v>4229</v>
      </c>
      <c r="F24" s="81"/>
      <c r="G24" s="109">
        <v>9000</v>
      </c>
      <c r="H24" s="105">
        <v>2710</v>
      </c>
      <c r="I24" s="109">
        <f t="shared" si="0"/>
        <v>11710</v>
      </c>
    </row>
    <row r="25" spans="1:19" ht="15.75" x14ac:dyDescent="0.25">
      <c r="A25" s="97">
        <v>18</v>
      </c>
      <c r="B25" s="81" t="s">
        <v>699</v>
      </c>
      <c r="C25" s="81"/>
      <c r="D25" s="81"/>
      <c r="E25" s="81">
        <v>4269</v>
      </c>
      <c r="F25" s="81" t="s">
        <v>0</v>
      </c>
      <c r="G25" s="109">
        <v>11480</v>
      </c>
      <c r="H25" s="109">
        <v>0</v>
      </c>
      <c r="I25" s="109">
        <f t="shared" si="0"/>
        <v>11480</v>
      </c>
    </row>
    <row r="26" spans="1:19" ht="15.75" x14ac:dyDescent="0.25">
      <c r="A26" s="97">
        <v>30</v>
      </c>
      <c r="B26" s="81" t="s">
        <v>670</v>
      </c>
      <c r="C26" s="81"/>
      <c r="D26" s="81"/>
      <c r="E26" s="81">
        <v>4236</v>
      </c>
      <c r="F26" s="81" t="s">
        <v>0</v>
      </c>
      <c r="G26" s="109">
        <v>11100</v>
      </c>
      <c r="H26" s="105">
        <v>0</v>
      </c>
      <c r="I26" s="109">
        <f t="shared" si="0"/>
        <v>11100</v>
      </c>
    </row>
    <row r="27" spans="1:19" ht="15.75" x14ac:dyDescent="0.25">
      <c r="A27" s="97">
        <v>23</v>
      </c>
      <c r="B27" s="81" t="s">
        <v>884</v>
      </c>
      <c r="C27" s="81"/>
      <c r="D27" s="81"/>
      <c r="E27" s="81">
        <v>4495</v>
      </c>
      <c r="F27" s="81"/>
      <c r="G27" s="109">
        <v>9000</v>
      </c>
      <c r="H27" s="105">
        <v>2000</v>
      </c>
      <c r="I27" s="109">
        <f t="shared" si="0"/>
        <v>11000</v>
      </c>
    </row>
    <row r="28" spans="1:19" ht="15.75" x14ac:dyDescent="0.25">
      <c r="A28" s="97">
        <v>31</v>
      </c>
      <c r="B28" s="81" t="s">
        <v>665</v>
      </c>
      <c r="C28" s="81"/>
      <c r="D28" s="81"/>
      <c r="E28" s="81">
        <v>4227</v>
      </c>
      <c r="F28" s="81" t="s">
        <v>0</v>
      </c>
      <c r="G28" s="109">
        <v>10000</v>
      </c>
      <c r="H28" s="105">
        <v>0</v>
      </c>
      <c r="I28" s="109">
        <f t="shared" si="0"/>
        <v>10000</v>
      </c>
    </row>
    <row r="29" spans="1:19" ht="15.75" x14ac:dyDescent="0.25">
      <c r="A29" s="97">
        <v>38</v>
      </c>
      <c r="B29" s="81" t="s">
        <v>690</v>
      </c>
      <c r="C29" s="81"/>
      <c r="D29" s="81"/>
      <c r="E29" s="81">
        <v>4265</v>
      </c>
      <c r="F29" s="81" t="s">
        <v>0</v>
      </c>
      <c r="G29" s="109">
        <v>10000</v>
      </c>
      <c r="H29" s="105">
        <v>0</v>
      </c>
      <c r="I29" s="109">
        <f t="shared" si="0"/>
        <v>10000</v>
      </c>
      <c r="K29" t="s">
        <v>233</v>
      </c>
    </row>
    <row r="30" spans="1:19" ht="15.75" x14ac:dyDescent="0.25">
      <c r="A30" s="97">
        <v>40</v>
      </c>
      <c r="B30" s="81" t="s">
        <v>798</v>
      </c>
      <c r="C30" s="81"/>
      <c r="D30" s="81"/>
      <c r="E30" s="81">
        <v>4389</v>
      </c>
      <c r="F30" s="81" t="s">
        <v>0</v>
      </c>
      <c r="G30" s="109">
        <v>10000</v>
      </c>
      <c r="H30" s="105">
        <v>0</v>
      </c>
      <c r="I30" s="109">
        <f t="shared" si="0"/>
        <v>10000</v>
      </c>
    </row>
    <row r="31" spans="1:19" ht="15.75" x14ac:dyDescent="0.25">
      <c r="A31" s="97">
        <v>41</v>
      </c>
      <c r="B31" s="81" t="s">
        <v>880</v>
      </c>
      <c r="C31" s="81"/>
      <c r="D31" s="81"/>
      <c r="E31" s="81">
        <v>4263</v>
      </c>
      <c r="F31" s="81" t="s">
        <v>0</v>
      </c>
      <c r="G31" s="109">
        <v>10000</v>
      </c>
      <c r="H31" s="105">
        <v>0</v>
      </c>
      <c r="I31" s="109">
        <f t="shared" si="0"/>
        <v>10000</v>
      </c>
      <c r="N31" t="s">
        <v>973</v>
      </c>
    </row>
    <row r="32" spans="1:19" ht="15.75" x14ac:dyDescent="0.25">
      <c r="A32" s="97">
        <v>25</v>
      </c>
      <c r="B32" s="81" t="s">
        <v>673</v>
      </c>
      <c r="C32" s="81"/>
      <c r="D32" s="81"/>
      <c r="E32" s="81">
        <v>4238</v>
      </c>
      <c r="F32" s="81" t="s">
        <v>0</v>
      </c>
      <c r="G32" s="82">
        <v>8000</v>
      </c>
      <c r="H32" s="82">
        <v>0</v>
      </c>
      <c r="I32" s="109">
        <f t="shared" si="0"/>
        <v>8000</v>
      </c>
    </row>
    <row r="33" spans="1:13" ht="15.75" x14ac:dyDescent="0.25">
      <c r="A33" s="97">
        <v>27</v>
      </c>
      <c r="B33" s="81" t="s">
        <v>871</v>
      </c>
      <c r="C33" s="81"/>
      <c r="D33" s="81"/>
      <c r="E33" s="81">
        <v>4487</v>
      </c>
      <c r="F33" s="81" t="s">
        <v>0</v>
      </c>
      <c r="G33" s="109">
        <v>7000</v>
      </c>
      <c r="H33" s="105">
        <v>0</v>
      </c>
      <c r="I33" s="109">
        <f t="shared" si="0"/>
        <v>7000</v>
      </c>
    </row>
    <row r="34" spans="1:13" ht="15.75" x14ac:dyDescent="0.25">
      <c r="A34" s="97">
        <v>35</v>
      </c>
      <c r="B34" s="81" t="s">
        <v>693</v>
      </c>
      <c r="C34" s="81"/>
      <c r="D34" s="81"/>
      <c r="E34" s="81">
        <v>4258</v>
      </c>
      <c r="F34" s="81" t="s">
        <v>0</v>
      </c>
      <c r="G34" s="109">
        <v>4310</v>
      </c>
      <c r="H34" s="109">
        <v>0</v>
      </c>
      <c r="I34" s="109">
        <f t="shared" si="0"/>
        <v>4310</v>
      </c>
    </row>
    <row r="35" spans="1:13" ht="15.75" x14ac:dyDescent="0.25">
      <c r="A35" s="97">
        <v>33</v>
      </c>
      <c r="B35" s="81" t="s">
        <v>658</v>
      </c>
      <c r="C35" s="81"/>
      <c r="D35" s="81"/>
      <c r="E35" s="81">
        <v>4218</v>
      </c>
      <c r="F35" s="81" t="s">
        <v>0</v>
      </c>
      <c r="G35" s="109">
        <v>1200</v>
      </c>
      <c r="H35" s="105">
        <v>0</v>
      </c>
      <c r="I35" s="109">
        <f t="shared" si="0"/>
        <v>1200</v>
      </c>
      <c r="K35" t="s">
        <v>2</v>
      </c>
    </row>
    <row r="36" spans="1:13" ht="15.75" x14ac:dyDescent="0.25">
      <c r="A36" s="105">
        <v>17</v>
      </c>
      <c r="B36" s="105" t="s">
        <v>703</v>
      </c>
      <c r="C36" s="105"/>
      <c r="D36" s="105"/>
      <c r="E36" s="105">
        <v>4268</v>
      </c>
      <c r="F36" s="105" t="s">
        <v>0</v>
      </c>
      <c r="G36" s="109">
        <v>1900</v>
      </c>
      <c r="H36" s="105">
        <v>0</v>
      </c>
      <c r="I36" s="109">
        <f t="shared" si="0"/>
        <v>1900</v>
      </c>
    </row>
    <row r="37" spans="1:13" ht="15.75" x14ac:dyDescent="0.25">
      <c r="A37" s="97">
        <v>42</v>
      </c>
      <c r="B37" s="81" t="s">
        <v>906</v>
      </c>
      <c r="C37" s="81"/>
      <c r="D37" s="81"/>
      <c r="E37" s="81">
        <v>4504</v>
      </c>
      <c r="F37" s="81" t="s">
        <v>0</v>
      </c>
      <c r="G37" s="109">
        <v>3000</v>
      </c>
      <c r="H37" s="105">
        <v>0</v>
      </c>
      <c r="I37" s="109">
        <v>3000</v>
      </c>
    </row>
    <row r="38" spans="1:13" ht="15.75" x14ac:dyDescent="0.25">
      <c r="A38" s="97">
        <v>32</v>
      </c>
      <c r="B38" s="98" t="s">
        <v>679</v>
      </c>
      <c r="C38" s="81"/>
      <c r="D38" s="81"/>
      <c r="E38" s="81">
        <v>4241</v>
      </c>
      <c r="F38" s="81"/>
      <c r="G38" s="109">
        <v>3171</v>
      </c>
      <c r="H38" s="105">
        <v>0</v>
      </c>
      <c r="I38" s="109">
        <f t="shared" ref="I38:I45" si="1">SUM(G38:H38)</f>
        <v>3171</v>
      </c>
    </row>
    <row r="39" spans="1:13" ht="15.75" x14ac:dyDescent="0.25">
      <c r="A39" s="97">
        <v>24</v>
      </c>
      <c r="B39" s="81" t="s">
        <v>879</v>
      </c>
      <c r="C39" s="81"/>
      <c r="D39" s="81"/>
      <c r="E39" s="81">
        <v>4211</v>
      </c>
      <c r="F39" s="81" t="s">
        <v>0</v>
      </c>
      <c r="G39" s="109">
        <v>3000</v>
      </c>
      <c r="H39" s="109">
        <v>0</v>
      </c>
      <c r="I39" s="109">
        <f t="shared" si="1"/>
        <v>3000</v>
      </c>
    </row>
    <row r="40" spans="1:13" ht="15.75" x14ac:dyDescent="0.25">
      <c r="A40" s="97">
        <v>29</v>
      </c>
      <c r="B40" s="81" t="s">
        <v>710</v>
      </c>
      <c r="C40" s="81"/>
      <c r="D40" s="81"/>
      <c r="E40" s="81">
        <v>4279</v>
      </c>
      <c r="F40" s="81"/>
      <c r="G40" s="109">
        <v>650</v>
      </c>
      <c r="H40" s="105">
        <v>0</v>
      </c>
      <c r="I40" s="109">
        <f t="shared" si="1"/>
        <v>650</v>
      </c>
    </row>
    <row r="41" spans="1:13" ht="15.75" x14ac:dyDescent="0.25">
      <c r="A41" s="97">
        <v>36</v>
      </c>
      <c r="B41" s="81" t="s">
        <v>661</v>
      </c>
      <c r="C41" s="81"/>
      <c r="D41" s="81"/>
      <c r="E41" s="81">
        <v>4224</v>
      </c>
      <c r="F41" s="81"/>
      <c r="G41" s="109">
        <v>1600</v>
      </c>
      <c r="H41" s="105">
        <v>0</v>
      </c>
      <c r="I41" s="109">
        <f t="shared" si="1"/>
        <v>1600</v>
      </c>
      <c r="M41" t="s">
        <v>2</v>
      </c>
    </row>
    <row r="42" spans="1:13" ht="15.75" x14ac:dyDescent="0.25">
      <c r="A42" s="97">
        <v>37</v>
      </c>
      <c r="B42" s="81" t="s">
        <v>626</v>
      </c>
      <c r="C42" s="107"/>
      <c r="D42" s="107"/>
      <c r="E42" s="81">
        <v>4177</v>
      </c>
      <c r="F42" s="81" t="s">
        <v>0</v>
      </c>
      <c r="G42" s="82">
        <v>1060</v>
      </c>
      <c r="H42" s="82">
        <v>0</v>
      </c>
      <c r="I42" s="109">
        <f t="shared" si="1"/>
        <v>1060</v>
      </c>
    </row>
    <row r="43" spans="1:13" ht="15.75" x14ac:dyDescent="0.25">
      <c r="A43" s="97">
        <v>21</v>
      </c>
      <c r="B43" s="81" t="s">
        <v>769</v>
      </c>
      <c r="C43" s="81"/>
      <c r="D43" s="81"/>
      <c r="E43" s="81">
        <v>4355</v>
      </c>
      <c r="F43" s="81" t="s">
        <v>0</v>
      </c>
      <c r="G43" s="109">
        <v>0</v>
      </c>
      <c r="H43" s="105">
        <v>0</v>
      </c>
      <c r="I43" s="109">
        <f t="shared" si="1"/>
        <v>0</v>
      </c>
    </row>
    <row r="44" spans="1:13" ht="15.75" x14ac:dyDescent="0.25">
      <c r="A44" s="97">
        <v>34</v>
      </c>
      <c r="B44" s="81" t="s">
        <v>698</v>
      </c>
      <c r="C44" s="81"/>
      <c r="D44" s="81"/>
      <c r="E44" s="81">
        <v>4267</v>
      </c>
      <c r="F44" s="81"/>
      <c r="G44" s="109">
        <v>0</v>
      </c>
      <c r="H44" s="105">
        <v>0</v>
      </c>
      <c r="I44" s="109">
        <f t="shared" si="1"/>
        <v>0</v>
      </c>
    </row>
    <row r="45" spans="1:13" x14ac:dyDescent="0.25">
      <c r="A45" s="97">
        <v>39</v>
      </c>
      <c r="B45" s="81" t="s">
        <v>685</v>
      </c>
      <c r="C45" s="81"/>
      <c r="D45" s="81"/>
      <c r="E45" s="81">
        <v>4257</v>
      </c>
      <c r="F45" s="81" t="s">
        <v>0</v>
      </c>
      <c r="G45" s="82">
        <v>0</v>
      </c>
      <c r="H45" s="81">
        <v>0</v>
      </c>
      <c r="I45" s="82">
        <f t="shared" si="1"/>
        <v>0</v>
      </c>
    </row>
    <row r="46" spans="1:13" ht="27.75" customHeight="1" x14ac:dyDescent="0.25">
      <c r="A46" s="106"/>
      <c r="B46" s="107" t="s">
        <v>57</v>
      </c>
      <c r="C46" s="81"/>
      <c r="D46" s="81"/>
      <c r="E46" s="97"/>
      <c r="F46" s="97"/>
      <c r="G46" s="110">
        <f>SUM(G4:G45)</f>
        <v>348299</v>
      </c>
      <c r="H46" s="110">
        <f>SUM(H4:H45)</f>
        <v>219323</v>
      </c>
      <c r="I46" s="110">
        <f>SUM(I4:I45)</f>
        <v>567622</v>
      </c>
    </row>
  </sheetData>
  <sortState ref="A4:I45">
    <sortCondition descending="1" ref="I4:I45"/>
  </sortState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J43"/>
  <sheetViews>
    <sheetView topLeftCell="A6" workbookViewId="0">
      <selection activeCell="N30" sqref="N30"/>
    </sheetView>
  </sheetViews>
  <sheetFormatPr defaultRowHeight="15" x14ac:dyDescent="0.25"/>
  <cols>
    <col min="1" max="1" width="4.7109375" customWidth="1"/>
    <col min="4" max="4" width="12.7109375" customWidth="1"/>
    <col min="6" max="6" width="4" customWidth="1"/>
    <col min="7" max="7" width="7.7109375" customWidth="1"/>
    <col min="8" max="8" width="12.5703125" customWidth="1"/>
    <col min="9" max="9" width="13.28515625" customWidth="1"/>
  </cols>
  <sheetData>
    <row r="1" spans="1:10" ht="15.75" x14ac:dyDescent="0.25">
      <c r="A1" s="87"/>
      <c r="B1" s="73" t="s">
        <v>1014</v>
      </c>
      <c r="C1" s="73"/>
      <c r="D1" s="73"/>
      <c r="E1" s="73"/>
      <c r="F1" s="73"/>
      <c r="G1" s="73"/>
      <c r="H1" s="73"/>
      <c r="I1" s="73"/>
    </row>
    <row r="2" spans="1:10" ht="13.5" customHeight="1" x14ac:dyDescent="0.25">
      <c r="A2" s="87"/>
      <c r="B2" s="73" t="s">
        <v>116</v>
      </c>
      <c r="C2" s="73"/>
      <c r="D2" s="73"/>
      <c r="E2" s="118" t="s">
        <v>726</v>
      </c>
      <c r="F2" s="118"/>
      <c r="G2" s="118" t="s">
        <v>114</v>
      </c>
      <c r="H2" s="118" t="s">
        <v>4</v>
      </c>
      <c r="I2" s="118" t="s">
        <v>113</v>
      </c>
    </row>
    <row r="3" spans="1:10" ht="15.75" x14ac:dyDescent="0.25">
      <c r="A3" s="97">
        <v>1</v>
      </c>
      <c r="B3" s="81" t="s">
        <v>799</v>
      </c>
      <c r="C3" s="81"/>
      <c r="D3" s="81"/>
      <c r="E3" s="81">
        <v>4384</v>
      </c>
      <c r="F3" s="81" t="s">
        <v>0</v>
      </c>
      <c r="G3" s="82">
        <v>9000</v>
      </c>
      <c r="H3" s="82">
        <v>44960</v>
      </c>
      <c r="I3" s="109">
        <f t="shared" ref="I3:I42" si="0">SUM(G3:H3)</f>
        <v>53960</v>
      </c>
    </row>
    <row r="4" spans="1:10" ht="15.75" x14ac:dyDescent="0.25">
      <c r="A4" s="97">
        <v>2</v>
      </c>
      <c r="B4" s="81" t="s">
        <v>692</v>
      </c>
      <c r="C4" s="81"/>
      <c r="D4" s="81"/>
      <c r="E4" s="81">
        <v>4259</v>
      </c>
      <c r="F4" s="81"/>
      <c r="G4" s="82">
        <v>9000</v>
      </c>
      <c r="H4" s="82">
        <v>20600</v>
      </c>
      <c r="I4" s="109">
        <v>29600</v>
      </c>
      <c r="J4" s="26"/>
    </row>
    <row r="5" spans="1:10" ht="15.75" x14ac:dyDescent="0.25">
      <c r="A5" s="97">
        <v>3</v>
      </c>
      <c r="B5" s="81" t="s">
        <v>668</v>
      </c>
      <c r="C5" s="81"/>
      <c r="D5" s="81"/>
      <c r="E5" s="81">
        <v>4215</v>
      </c>
      <c r="F5" s="81"/>
      <c r="G5" s="82">
        <v>9000</v>
      </c>
      <c r="H5" s="82">
        <v>29350</v>
      </c>
      <c r="I5" s="109">
        <f t="shared" si="0"/>
        <v>38350</v>
      </c>
    </row>
    <row r="6" spans="1:10" ht="15.75" x14ac:dyDescent="0.25">
      <c r="A6" s="97">
        <v>4</v>
      </c>
      <c r="B6" s="81" t="s">
        <v>688</v>
      </c>
      <c r="C6" s="81"/>
      <c r="D6" s="81"/>
      <c r="E6" s="81">
        <v>4261</v>
      </c>
      <c r="F6" s="81"/>
      <c r="G6" s="82">
        <v>9000</v>
      </c>
      <c r="H6" s="82">
        <v>24500</v>
      </c>
      <c r="I6" s="109">
        <f t="shared" si="0"/>
        <v>33500</v>
      </c>
    </row>
    <row r="7" spans="1:10" ht="15.75" x14ac:dyDescent="0.25">
      <c r="A7" s="66">
        <v>5</v>
      </c>
      <c r="B7" s="81" t="s">
        <v>542</v>
      </c>
      <c r="C7" s="81"/>
      <c r="D7" s="81"/>
      <c r="E7" s="81">
        <v>4118</v>
      </c>
      <c r="F7" s="81"/>
      <c r="G7" s="82">
        <v>9000</v>
      </c>
      <c r="H7" s="82">
        <v>24000</v>
      </c>
      <c r="I7" s="109">
        <f t="shared" si="0"/>
        <v>33000</v>
      </c>
    </row>
    <row r="8" spans="1:10" ht="15.75" x14ac:dyDescent="0.25">
      <c r="A8" s="97">
        <v>6</v>
      </c>
      <c r="B8" s="81" t="s">
        <v>605</v>
      </c>
      <c r="C8" s="81"/>
      <c r="D8" s="81"/>
      <c r="E8" s="81">
        <v>4152</v>
      </c>
      <c r="F8" s="81"/>
      <c r="G8" s="82">
        <v>9000</v>
      </c>
      <c r="H8" s="82">
        <v>21900</v>
      </c>
      <c r="I8" s="109">
        <f t="shared" si="0"/>
        <v>30900</v>
      </c>
    </row>
    <row r="9" spans="1:10" ht="15.75" x14ac:dyDescent="0.25">
      <c r="A9" s="97">
        <v>8</v>
      </c>
      <c r="B9" s="81" t="s">
        <v>599</v>
      </c>
      <c r="C9" s="81"/>
      <c r="D9" s="81"/>
      <c r="E9" s="81">
        <v>4145</v>
      </c>
      <c r="F9" s="81"/>
      <c r="G9" s="82">
        <v>9000</v>
      </c>
      <c r="H9" s="82">
        <v>19500</v>
      </c>
      <c r="I9" s="111">
        <f t="shared" si="0"/>
        <v>28500</v>
      </c>
    </row>
    <row r="10" spans="1:10" ht="15.75" x14ac:dyDescent="0.25">
      <c r="A10" s="97">
        <v>12</v>
      </c>
      <c r="B10" s="81" t="s">
        <v>655</v>
      </c>
      <c r="C10" s="81"/>
      <c r="D10" s="81"/>
      <c r="E10" s="81">
        <v>4226</v>
      </c>
      <c r="F10" s="81" t="s">
        <v>0</v>
      </c>
      <c r="G10" s="82">
        <v>25750</v>
      </c>
      <c r="H10" s="82">
        <v>0</v>
      </c>
      <c r="I10" s="111">
        <f t="shared" si="0"/>
        <v>25750</v>
      </c>
    </row>
    <row r="11" spans="1:10" ht="15.75" x14ac:dyDescent="0.25">
      <c r="A11" s="97">
        <v>9</v>
      </c>
      <c r="B11" s="81" t="s">
        <v>687</v>
      </c>
      <c r="C11" s="81"/>
      <c r="D11" s="81"/>
      <c r="E11" s="81">
        <v>4250</v>
      </c>
      <c r="F11" s="81"/>
      <c r="G11" s="82">
        <v>9000</v>
      </c>
      <c r="H11" s="82">
        <v>13300</v>
      </c>
      <c r="I11" s="109">
        <f t="shared" si="0"/>
        <v>22300</v>
      </c>
    </row>
    <row r="12" spans="1:10" ht="15.75" x14ac:dyDescent="0.25">
      <c r="A12" s="97">
        <v>18</v>
      </c>
      <c r="B12" s="81" t="s">
        <v>709</v>
      </c>
      <c r="C12" s="81"/>
      <c r="D12" s="81"/>
      <c r="E12" s="81">
        <v>4277</v>
      </c>
      <c r="F12" s="81" t="s">
        <v>0</v>
      </c>
      <c r="G12" s="82">
        <v>18650</v>
      </c>
      <c r="H12" s="81">
        <v>0</v>
      </c>
      <c r="I12" s="109">
        <f t="shared" si="0"/>
        <v>18650</v>
      </c>
    </row>
    <row r="13" spans="1:10" ht="15.75" x14ac:dyDescent="0.25">
      <c r="A13" s="97">
        <v>7</v>
      </c>
      <c r="B13" s="81" t="s">
        <v>712</v>
      </c>
      <c r="C13" s="81"/>
      <c r="D13" s="81"/>
      <c r="E13" s="81">
        <v>4280</v>
      </c>
      <c r="F13" s="81" t="s">
        <v>0</v>
      </c>
      <c r="G13" s="82">
        <v>15000</v>
      </c>
      <c r="H13" s="81">
        <v>0</v>
      </c>
      <c r="I13" s="109">
        <f t="shared" si="0"/>
        <v>15000</v>
      </c>
    </row>
    <row r="14" spans="1:10" ht="15.75" x14ac:dyDescent="0.25">
      <c r="A14" s="97">
        <v>10</v>
      </c>
      <c r="B14" s="81" t="s">
        <v>662</v>
      </c>
      <c r="C14" s="81"/>
      <c r="D14" s="81"/>
      <c r="E14" s="81">
        <v>4232</v>
      </c>
      <c r="F14" s="81"/>
      <c r="G14" s="82">
        <v>9000</v>
      </c>
      <c r="H14" s="81">
        <v>9000</v>
      </c>
      <c r="I14" s="109">
        <f t="shared" si="0"/>
        <v>18000</v>
      </c>
    </row>
    <row r="15" spans="1:10" ht="15.75" x14ac:dyDescent="0.25">
      <c r="A15" s="97">
        <v>11</v>
      </c>
      <c r="B15" s="81" t="s">
        <v>718</v>
      </c>
      <c r="C15" s="81"/>
      <c r="D15" s="81"/>
      <c r="E15" s="81">
        <v>4213</v>
      </c>
      <c r="F15" s="81"/>
      <c r="G15" s="82">
        <v>9000</v>
      </c>
      <c r="H15" s="81">
        <v>8830</v>
      </c>
      <c r="I15" s="109">
        <f t="shared" si="0"/>
        <v>17830</v>
      </c>
    </row>
    <row r="16" spans="1:10" ht="15.75" x14ac:dyDescent="0.25">
      <c r="A16" s="97">
        <v>20</v>
      </c>
      <c r="B16" s="81" t="s">
        <v>654</v>
      </c>
      <c r="C16" s="81"/>
      <c r="D16" s="81"/>
      <c r="E16" s="81">
        <v>4225</v>
      </c>
      <c r="F16" s="81" t="s">
        <v>0</v>
      </c>
      <c r="G16" s="82">
        <v>17200</v>
      </c>
      <c r="H16" s="81">
        <v>0</v>
      </c>
      <c r="I16" s="109">
        <f t="shared" si="0"/>
        <v>17200</v>
      </c>
    </row>
    <row r="17" spans="1:9" ht="15.75" x14ac:dyDescent="0.25">
      <c r="A17" s="97">
        <v>14</v>
      </c>
      <c r="B17" s="81" t="s">
        <v>796</v>
      </c>
      <c r="C17" s="81"/>
      <c r="D17" s="81"/>
      <c r="E17" s="81">
        <v>4138</v>
      </c>
      <c r="F17" s="81"/>
      <c r="G17" s="82">
        <v>9000</v>
      </c>
      <c r="H17" s="82">
        <v>7419</v>
      </c>
      <c r="I17" s="111">
        <f t="shared" si="0"/>
        <v>16419</v>
      </c>
    </row>
    <row r="18" spans="1:9" ht="15.75" x14ac:dyDescent="0.25">
      <c r="A18" s="97">
        <v>13</v>
      </c>
      <c r="B18" s="81" t="s">
        <v>870</v>
      </c>
      <c r="C18" s="81"/>
      <c r="D18" s="81"/>
      <c r="E18" s="81">
        <v>4486</v>
      </c>
      <c r="F18" s="81" t="s">
        <v>0</v>
      </c>
      <c r="G18" s="82">
        <v>15180</v>
      </c>
      <c r="H18" s="82">
        <v>0</v>
      </c>
      <c r="I18" s="109">
        <f t="shared" si="0"/>
        <v>15180</v>
      </c>
    </row>
    <row r="19" spans="1:9" ht="15.75" x14ac:dyDescent="0.25">
      <c r="A19" s="97">
        <v>26</v>
      </c>
      <c r="B19" s="81" t="s">
        <v>731</v>
      </c>
      <c r="C19" s="81"/>
      <c r="D19" s="81"/>
      <c r="E19" s="81">
        <v>4297</v>
      </c>
      <c r="F19" s="81" t="s">
        <v>0</v>
      </c>
      <c r="G19" s="82">
        <v>15080</v>
      </c>
      <c r="H19" s="81">
        <v>0</v>
      </c>
      <c r="I19" s="109">
        <f t="shared" si="0"/>
        <v>15080</v>
      </c>
    </row>
    <row r="20" spans="1:9" ht="15.75" x14ac:dyDescent="0.25">
      <c r="A20" s="97">
        <v>27</v>
      </c>
      <c r="B20" s="81" t="s">
        <v>680</v>
      </c>
      <c r="C20" s="81"/>
      <c r="D20" s="81"/>
      <c r="E20" s="81">
        <v>4246</v>
      </c>
      <c r="F20" s="81" t="s">
        <v>0</v>
      </c>
      <c r="G20" s="82">
        <v>14920</v>
      </c>
      <c r="H20" s="81">
        <v>0</v>
      </c>
      <c r="I20" s="109">
        <f t="shared" si="0"/>
        <v>14920</v>
      </c>
    </row>
    <row r="21" spans="1:9" ht="15.75" x14ac:dyDescent="0.25">
      <c r="A21" s="97">
        <v>15</v>
      </c>
      <c r="B21" s="81" t="s">
        <v>675</v>
      </c>
      <c r="C21" s="81"/>
      <c r="D21" s="81"/>
      <c r="E21" s="81">
        <v>4240</v>
      </c>
      <c r="F21" s="81" t="s">
        <v>0</v>
      </c>
      <c r="G21" s="82">
        <v>15000</v>
      </c>
      <c r="H21" s="82">
        <v>4713</v>
      </c>
      <c r="I21" s="109">
        <f t="shared" si="0"/>
        <v>19713</v>
      </c>
    </row>
    <row r="22" spans="1:9" ht="15.75" x14ac:dyDescent="0.25">
      <c r="A22" s="97">
        <v>17</v>
      </c>
      <c r="B22" s="81" t="s">
        <v>689</v>
      </c>
      <c r="C22" s="81"/>
      <c r="D22" s="81"/>
      <c r="E22" s="81">
        <v>4264</v>
      </c>
      <c r="F22" s="81"/>
      <c r="G22" s="82">
        <v>9000</v>
      </c>
      <c r="H22" s="81">
        <v>1653</v>
      </c>
      <c r="I22" s="109">
        <f t="shared" si="0"/>
        <v>10653</v>
      </c>
    </row>
    <row r="23" spans="1:9" ht="15.75" x14ac:dyDescent="0.25">
      <c r="A23" s="97">
        <v>19</v>
      </c>
      <c r="B23" s="81" t="s">
        <v>714</v>
      </c>
      <c r="C23" s="81"/>
      <c r="D23" s="81"/>
      <c r="E23" s="81">
        <v>4283</v>
      </c>
      <c r="F23" s="81"/>
      <c r="G23" s="82">
        <v>9000</v>
      </c>
      <c r="H23" s="81">
        <v>200</v>
      </c>
      <c r="I23" s="111">
        <f t="shared" si="0"/>
        <v>9200</v>
      </c>
    </row>
    <row r="24" spans="1:9" ht="15.75" x14ac:dyDescent="0.25">
      <c r="A24" s="97">
        <v>21</v>
      </c>
      <c r="B24" s="81" t="s">
        <v>664</v>
      </c>
      <c r="C24" s="81"/>
      <c r="D24" s="81"/>
      <c r="E24" s="81">
        <v>4230</v>
      </c>
      <c r="F24" s="81"/>
      <c r="G24" s="82">
        <v>9000</v>
      </c>
      <c r="H24" s="81">
        <v>0</v>
      </c>
      <c r="I24" s="109">
        <f t="shared" si="0"/>
        <v>9000</v>
      </c>
    </row>
    <row r="25" spans="1:9" ht="15.75" x14ac:dyDescent="0.25">
      <c r="A25" s="97">
        <v>22</v>
      </c>
      <c r="B25" s="81" t="s">
        <v>886</v>
      </c>
      <c r="C25" s="81"/>
      <c r="D25" s="81"/>
      <c r="E25" s="81">
        <v>4497</v>
      </c>
      <c r="F25" s="81"/>
      <c r="G25" s="82">
        <v>9000</v>
      </c>
      <c r="H25" s="81">
        <v>0</v>
      </c>
      <c r="I25" s="109">
        <f t="shared" si="0"/>
        <v>9000</v>
      </c>
    </row>
    <row r="26" spans="1:9" ht="15.75" x14ac:dyDescent="0.25">
      <c r="A26" s="97">
        <v>25</v>
      </c>
      <c r="B26" s="81" t="s">
        <v>874</v>
      </c>
      <c r="C26" s="81"/>
      <c r="D26" s="81"/>
      <c r="E26" s="81">
        <v>4423</v>
      </c>
      <c r="F26" s="81"/>
      <c r="G26" s="82">
        <v>8000</v>
      </c>
      <c r="H26" s="81">
        <v>0</v>
      </c>
      <c r="I26" s="109">
        <f t="shared" si="0"/>
        <v>8000</v>
      </c>
    </row>
    <row r="27" spans="1:9" ht="15.75" x14ac:dyDescent="0.25">
      <c r="A27" s="97">
        <v>16</v>
      </c>
      <c r="B27" s="81" t="s">
        <v>797</v>
      </c>
      <c r="C27" s="81"/>
      <c r="D27" s="81"/>
      <c r="E27" s="81">
        <v>4387</v>
      </c>
      <c r="F27" s="81" t="s">
        <v>0</v>
      </c>
      <c r="G27" s="82">
        <v>6500</v>
      </c>
      <c r="H27" s="81">
        <v>0</v>
      </c>
      <c r="I27" s="109">
        <f t="shared" si="0"/>
        <v>6500</v>
      </c>
    </row>
    <row r="28" spans="1:9" ht="15.75" x14ac:dyDescent="0.25">
      <c r="A28" s="97">
        <v>29</v>
      </c>
      <c r="B28" s="81" t="s">
        <v>802</v>
      </c>
      <c r="C28" s="81"/>
      <c r="D28" s="81"/>
      <c r="E28" s="81">
        <v>4392</v>
      </c>
      <c r="F28" s="81"/>
      <c r="G28" s="82">
        <v>6350</v>
      </c>
      <c r="H28" s="81">
        <v>0</v>
      </c>
      <c r="I28" s="109">
        <f t="shared" si="0"/>
        <v>6350</v>
      </c>
    </row>
    <row r="29" spans="1:9" ht="15.75" x14ac:dyDescent="0.25">
      <c r="A29" s="97">
        <v>30</v>
      </c>
      <c r="B29" s="81" t="s">
        <v>817</v>
      </c>
      <c r="C29" s="81"/>
      <c r="D29" s="81"/>
      <c r="E29" s="81">
        <v>4409</v>
      </c>
      <c r="F29" s="81" t="s">
        <v>0</v>
      </c>
      <c r="G29" s="82">
        <v>5200</v>
      </c>
      <c r="H29" s="81">
        <v>0</v>
      </c>
      <c r="I29" s="109">
        <f t="shared" si="0"/>
        <v>5200</v>
      </c>
    </row>
    <row r="30" spans="1:9" ht="15.75" x14ac:dyDescent="0.25">
      <c r="A30" s="97">
        <v>31</v>
      </c>
      <c r="B30" s="81" t="s">
        <v>677</v>
      </c>
      <c r="C30" s="81"/>
      <c r="D30" s="81"/>
      <c r="E30" s="81">
        <v>4242</v>
      </c>
      <c r="F30" s="81"/>
      <c r="G30" s="82">
        <v>6000</v>
      </c>
      <c r="H30" s="81">
        <v>0</v>
      </c>
      <c r="I30" s="109">
        <f t="shared" si="0"/>
        <v>6000</v>
      </c>
    </row>
    <row r="31" spans="1:9" ht="15.75" x14ac:dyDescent="0.25">
      <c r="A31" s="97">
        <v>40</v>
      </c>
      <c r="B31" s="81" t="s">
        <v>683</v>
      </c>
      <c r="C31" s="81"/>
      <c r="D31" s="81"/>
      <c r="E31" s="81">
        <v>4249</v>
      </c>
      <c r="F31" s="81" t="s">
        <v>0</v>
      </c>
      <c r="G31" s="82">
        <v>1500</v>
      </c>
      <c r="H31" s="81">
        <v>0</v>
      </c>
      <c r="I31" s="109">
        <f t="shared" si="0"/>
        <v>1500</v>
      </c>
    </row>
    <row r="32" spans="1:9" ht="15.75" x14ac:dyDescent="0.25">
      <c r="A32" s="97">
        <v>24</v>
      </c>
      <c r="B32" s="81" t="s">
        <v>656</v>
      </c>
      <c r="C32" s="81"/>
      <c r="D32" s="81"/>
      <c r="E32" s="81">
        <v>4210</v>
      </c>
      <c r="F32" s="81" t="s">
        <v>0</v>
      </c>
      <c r="G32" s="82">
        <v>5000</v>
      </c>
      <c r="H32" s="81">
        <v>0</v>
      </c>
      <c r="I32" s="109">
        <f t="shared" si="0"/>
        <v>5000</v>
      </c>
    </row>
    <row r="33" spans="1:9" ht="15.75" x14ac:dyDescent="0.25">
      <c r="A33" s="97">
        <v>32</v>
      </c>
      <c r="B33" s="81" t="s">
        <v>686</v>
      </c>
      <c r="C33" s="81"/>
      <c r="D33" s="81"/>
      <c r="E33" s="81">
        <v>4255</v>
      </c>
      <c r="F33" s="81"/>
      <c r="G33" s="82">
        <v>4775</v>
      </c>
      <c r="H33" s="81">
        <v>0</v>
      </c>
      <c r="I33" s="109">
        <f t="shared" si="0"/>
        <v>4775</v>
      </c>
    </row>
    <row r="34" spans="1:9" ht="15.75" x14ac:dyDescent="0.25">
      <c r="A34" s="97">
        <v>23</v>
      </c>
      <c r="B34" s="81" t="s">
        <v>671</v>
      </c>
      <c r="C34" s="81"/>
      <c r="D34" s="81" t="s">
        <v>897</v>
      </c>
      <c r="E34" s="81">
        <v>4237</v>
      </c>
      <c r="F34" s="81" t="s">
        <v>0</v>
      </c>
      <c r="G34" s="82">
        <v>3950</v>
      </c>
      <c r="H34" s="81">
        <v>0</v>
      </c>
      <c r="I34" s="109">
        <f t="shared" si="0"/>
        <v>3950</v>
      </c>
    </row>
    <row r="35" spans="1:9" ht="15.75" x14ac:dyDescent="0.25">
      <c r="A35" s="97">
        <v>35</v>
      </c>
      <c r="B35" s="81" t="s">
        <v>883</v>
      </c>
      <c r="C35" s="81"/>
      <c r="D35" s="81"/>
      <c r="E35" s="81">
        <v>4494</v>
      </c>
      <c r="F35" s="81"/>
      <c r="G35" s="82">
        <v>2000</v>
      </c>
      <c r="H35" s="81">
        <v>0</v>
      </c>
      <c r="I35" s="109">
        <f t="shared" si="0"/>
        <v>2000</v>
      </c>
    </row>
    <row r="36" spans="1:9" ht="15.75" x14ac:dyDescent="0.25">
      <c r="A36" s="97">
        <v>37</v>
      </c>
      <c r="B36" s="81" t="s">
        <v>681</v>
      </c>
      <c r="C36" s="81"/>
      <c r="D36" s="81"/>
      <c r="E36" s="81">
        <v>4248</v>
      </c>
      <c r="F36" s="81"/>
      <c r="G36" s="82">
        <v>1400</v>
      </c>
      <c r="H36" s="81">
        <v>0</v>
      </c>
      <c r="I36" s="109">
        <f t="shared" si="0"/>
        <v>1400</v>
      </c>
    </row>
    <row r="37" spans="1:9" ht="15.75" x14ac:dyDescent="0.25">
      <c r="A37" s="97">
        <v>38</v>
      </c>
      <c r="B37" s="81" t="s">
        <v>674</v>
      </c>
      <c r="C37" s="81"/>
      <c r="D37" s="81"/>
      <c r="E37" s="81">
        <v>4239</v>
      </c>
      <c r="F37" s="81"/>
      <c r="G37" s="82">
        <v>925</v>
      </c>
      <c r="H37" s="81">
        <v>0</v>
      </c>
      <c r="I37" s="109">
        <f t="shared" si="0"/>
        <v>925</v>
      </c>
    </row>
    <row r="38" spans="1:9" ht="15.75" x14ac:dyDescent="0.25">
      <c r="A38" s="97">
        <v>39</v>
      </c>
      <c r="B38" s="81" t="s">
        <v>667</v>
      </c>
      <c r="C38" s="81"/>
      <c r="D38" s="81"/>
      <c r="E38" s="81">
        <v>4228</v>
      </c>
      <c r="F38" s="81"/>
      <c r="G38" s="82">
        <v>795</v>
      </c>
      <c r="H38" s="81">
        <v>0</v>
      </c>
      <c r="I38" s="109">
        <f t="shared" si="0"/>
        <v>795</v>
      </c>
    </row>
    <row r="39" spans="1:9" ht="15.75" x14ac:dyDescent="0.25">
      <c r="A39" s="97">
        <v>34</v>
      </c>
      <c r="B39" s="81" t="s">
        <v>705</v>
      </c>
      <c r="C39" s="81"/>
      <c r="D39" s="81"/>
      <c r="E39" s="81">
        <v>4275</v>
      </c>
      <c r="F39" s="81" t="s">
        <v>0</v>
      </c>
      <c r="G39" s="82">
        <v>0</v>
      </c>
      <c r="H39" s="81">
        <v>0</v>
      </c>
      <c r="I39" s="109">
        <f t="shared" si="0"/>
        <v>0</v>
      </c>
    </row>
    <row r="40" spans="1:9" ht="15.75" x14ac:dyDescent="0.25">
      <c r="A40" s="97">
        <v>33</v>
      </c>
      <c r="B40" s="81" t="s">
        <v>660</v>
      </c>
      <c r="C40" s="81"/>
      <c r="D40" s="81"/>
      <c r="E40" s="81">
        <v>4221</v>
      </c>
      <c r="F40" s="81" t="s">
        <v>0</v>
      </c>
      <c r="G40" s="82">
        <v>0</v>
      </c>
      <c r="H40" s="82">
        <v>0</v>
      </c>
      <c r="I40" s="109">
        <f t="shared" si="0"/>
        <v>0</v>
      </c>
    </row>
    <row r="41" spans="1:9" ht="15.75" x14ac:dyDescent="0.25">
      <c r="A41" s="97">
        <v>28</v>
      </c>
      <c r="B41" s="81" t="s">
        <v>882</v>
      </c>
      <c r="C41" s="81"/>
      <c r="D41" s="81"/>
      <c r="E41" s="81">
        <v>4107</v>
      </c>
      <c r="F41" s="81" t="s">
        <v>0</v>
      </c>
      <c r="G41" s="82">
        <v>6000</v>
      </c>
      <c r="H41" s="81">
        <v>0</v>
      </c>
      <c r="I41" s="109">
        <f t="shared" si="0"/>
        <v>6000</v>
      </c>
    </row>
    <row r="42" spans="1:9" ht="15.75" x14ac:dyDescent="0.25">
      <c r="A42" s="97">
        <v>36</v>
      </c>
      <c r="B42" s="81" t="s">
        <v>697</v>
      </c>
      <c r="C42" s="81"/>
      <c r="D42" s="81"/>
      <c r="E42" s="81">
        <v>4245</v>
      </c>
      <c r="F42" s="81" t="s">
        <v>0</v>
      </c>
      <c r="G42" s="82">
        <v>0</v>
      </c>
      <c r="H42" s="81">
        <v>0</v>
      </c>
      <c r="I42" s="109">
        <f t="shared" si="0"/>
        <v>0</v>
      </c>
    </row>
    <row r="43" spans="1:9" ht="15.75" x14ac:dyDescent="0.25">
      <c r="A43" s="97"/>
      <c r="B43" s="96" t="s">
        <v>57</v>
      </c>
      <c r="C43" s="81"/>
      <c r="D43" s="81"/>
      <c r="E43" s="40"/>
      <c r="F43" s="40"/>
      <c r="G43" s="41">
        <f>SUM(G3:G42)</f>
        <v>330175</v>
      </c>
      <c r="H43" s="41">
        <f>SUM(H3:H42)</f>
        <v>229925</v>
      </c>
      <c r="I43" s="119">
        <f>SUM(I3:I42)</f>
        <v>560100</v>
      </c>
    </row>
  </sheetData>
  <sortState ref="A3:I42">
    <sortCondition descending="1" ref="I3:I42"/>
  </sortState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J47"/>
  <sheetViews>
    <sheetView topLeftCell="A13" workbookViewId="0">
      <selection activeCell="E39" sqref="E39"/>
    </sheetView>
  </sheetViews>
  <sheetFormatPr defaultRowHeight="15" x14ac:dyDescent="0.25"/>
  <cols>
    <col min="1" max="1" width="4.28515625" customWidth="1"/>
    <col min="2" max="2" width="36" customWidth="1"/>
    <col min="3" max="3" width="4.5703125" customWidth="1"/>
    <col min="4" max="4" width="10" customWidth="1"/>
    <col min="5" max="5" width="9.140625" customWidth="1"/>
    <col min="6" max="6" width="11.7109375" customWidth="1"/>
    <col min="7" max="7" width="10.42578125" customWidth="1"/>
  </cols>
  <sheetData>
    <row r="1" spans="1:7" x14ac:dyDescent="0.25">
      <c r="A1" s="66" t="s">
        <v>1041</v>
      </c>
      <c r="B1" s="66"/>
      <c r="C1" s="66"/>
      <c r="D1" s="66"/>
      <c r="E1" s="66"/>
      <c r="F1" s="66"/>
      <c r="G1" s="40"/>
    </row>
    <row r="2" spans="1:7" x14ac:dyDescent="0.25">
      <c r="A2" s="66" t="s">
        <v>413</v>
      </c>
      <c r="B2" s="66" t="s">
        <v>116</v>
      </c>
      <c r="C2" s="66"/>
      <c r="D2" s="66" t="s">
        <v>284</v>
      </c>
      <c r="E2" s="66" t="s">
        <v>114</v>
      </c>
      <c r="F2" s="66" t="s">
        <v>4</v>
      </c>
      <c r="G2" s="66" t="s">
        <v>113</v>
      </c>
    </row>
    <row r="3" spans="1:7" x14ac:dyDescent="0.25">
      <c r="A3" s="81">
        <v>42</v>
      </c>
      <c r="B3" s="81" t="s">
        <v>1039</v>
      </c>
      <c r="C3" s="81" t="s">
        <v>0</v>
      </c>
      <c r="D3" s="81">
        <v>4490</v>
      </c>
      <c r="E3" s="81">
        <v>40500</v>
      </c>
      <c r="F3" s="81">
        <v>40540</v>
      </c>
      <c r="G3" s="81">
        <f>SUM(E3:F3)</f>
        <v>81040</v>
      </c>
    </row>
    <row r="4" spans="1:7" x14ac:dyDescent="0.25">
      <c r="A4" s="81">
        <v>1</v>
      </c>
      <c r="B4" s="81" t="s">
        <v>781</v>
      </c>
      <c r="C4" s="81" t="s">
        <v>0</v>
      </c>
      <c r="D4" s="81">
        <v>4345</v>
      </c>
      <c r="E4" s="82">
        <v>40500</v>
      </c>
      <c r="F4" s="82">
        <v>29425</v>
      </c>
      <c r="G4" s="41">
        <f t="shared" ref="G4:G45" si="0">SUM(E4:F4)</f>
        <v>69925</v>
      </c>
    </row>
    <row r="5" spans="1:7" x14ac:dyDescent="0.25">
      <c r="A5" s="81">
        <v>2</v>
      </c>
      <c r="B5" s="81" t="s">
        <v>733</v>
      </c>
      <c r="C5" s="81" t="s">
        <v>0</v>
      </c>
      <c r="D5" s="81">
        <v>4301</v>
      </c>
      <c r="E5" s="82">
        <v>40500</v>
      </c>
      <c r="F5" s="82">
        <v>22980</v>
      </c>
      <c r="G5" s="82">
        <f t="shared" si="0"/>
        <v>63480</v>
      </c>
    </row>
    <row r="6" spans="1:7" x14ac:dyDescent="0.25">
      <c r="A6" s="81">
        <v>3</v>
      </c>
      <c r="B6" s="81" t="s">
        <v>761</v>
      </c>
      <c r="C6" s="81"/>
      <c r="D6" s="81">
        <v>4353</v>
      </c>
      <c r="E6" s="82">
        <v>11000</v>
      </c>
      <c r="F6" s="82">
        <v>20500</v>
      </c>
      <c r="G6" s="41">
        <f t="shared" si="0"/>
        <v>31500</v>
      </c>
    </row>
    <row r="7" spans="1:7" x14ac:dyDescent="0.25">
      <c r="A7" s="81">
        <v>4</v>
      </c>
      <c r="B7" s="81" t="s">
        <v>756</v>
      </c>
      <c r="C7" s="81"/>
      <c r="D7" s="81">
        <v>4339</v>
      </c>
      <c r="E7" s="82">
        <v>11000</v>
      </c>
      <c r="F7" s="82">
        <v>20000</v>
      </c>
      <c r="G7" s="41">
        <f t="shared" si="0"/>
        <v>31000</v>
      </c>
    </row>
    <row r="8" spans="1:7" x14ac:dyDescent="0.25">
      <c r="A8" s="81">
        <v>5</v>
      </c>
      <c r="B8" s="81" t="s">
        <v>794</v>
      </c>
      <c r="C8" s="81"/>
      <c r="D8" s="81">
        <v>4332</v>
      </c>
      <c r="E8" s="82">
        <v>11000</v>
      </c>
      <c r="F8" s="82">
        <v>19900</v>
      </c>
      <c r="G8" s="41">
        <f t="shared" si="0"/>
        <v>30900</v>
      </c>
    </row>
    <row r="9" spans="1:7" x14ac:dyDescent="0.25">
      <c r="A9" s="81">
        <v>6</v>
      </c>
      <c r="B9" s="81" t="s">
        <v>801</v>
      </c>
      <c r="C9" s="81"/>
      <c r="D9" s="81">
        <v>4391</v>
      </c>
      <c r="E9" s="82">
        <v>11000</v>
      </c>
      <c r="F9" s="82">
        <v>19500</v>
      </c>
      <c r="G9" s="41">
        <f t="shared" si="0"/>
        <v>30500</v>
      </c>
    </row>
    <row r="10" spans="1:7" x14ac:dyDescent="0.25">
      <c r="A10" s="81">
        <v>7</v>
      </c>
      <c r="B10" s="81" t="s">
        <v>900</v>
      </c>
      <c r="C10" s="81"/>
      <c r="D10" s="81">
        <v>4273</v>
      </c>
      <c r="E10" s="82">
        <v>11000</v>
      </c>
      <c r="F10" s="82">
        <v>16540</v>
      </c>
      <c r="G10" s="82">
        <f t="shared" si="0"/>
        <v>27540</v>
      </c>
    </row>
    <row r="11" spans="1:7" x14ac:dyDescent="0.25">
      <c r="A11" s="81">
        <v>8</v>
      </c>
      <c r="B11" s="81" t="s">
        <v>734</v>
      </c>
      <c r="C11" s="81" t="s">
        <v>0</v>
      </c>
      <c r="D11" s="81">
        <v>4303</v>
      </c>
      <c r="E11" s="82">
        <v>40500</v>
      </c>
      <c r="F11" s="82">
        <v>7700</v>
      </c>
      <c r="G11" s="41">
        <f t="shared" si="0"/>
        <v>48200</v>
      </c>
    </row>
    <row r="12" spans="1:7" x14ac:dyDescent="0.25">
      <c r="A12" s="81">
        <v>9</v>
      </c>
      <c r="B12" s="81" t="s">
        <v>792</v>
      </c>
      <c r="C12" s="81"/>
      <c r="D12" s="81">
        <v>4320</v>
      </c>
      <c r="E12" s="82">
        <v>11000</v>
      </c>
      <c r="F12" s="82">
        <v>10500</v>
      </c>
      <c r="G12" s="41">
        <f t="shared" si="0"/>
        <v>21500</v>
      </c>
    </row>
    <row r="13" spans="1:7" x14ac:dyDescent="0.25">
      <c r="A13" s="81">
        <v>10</v>
      </c>
      <c r="B13" s="81" t="s">
        <v>776</v>
      </c>
      <c r="C13" s="81"/>
      <c r="D13" s="81">
        <v>4363</v>
      </c>
      <c r="E13" s="82">
        <v>11000</v>
      </c>
      <c r="F13" s="82">
        <v>10180</v>
      </c>
      <c r="G13" s="41">
        <f t="shared" si="0"/>
        <v>21180</v>
      </c>
    </row>
    <row r="14" spans="1:7" x14ac:dyDescent="0.25">
      <c r="A14" s="81">
        <v>11</v>
      </c>
      <c r="B14" s="81" t="s">
        <v>735</v>
      </c>
      <c r="C14" s="81"/>
      <c r="D14" s="81">
        <v>4305</v>
      </c>
      <c r="E14" s="82">
        <v>11000</v>
      </c>
      <c r="F14" s="82">
        <v>1380</v>
      </c>
      <c r="G14" s="41">
        <f t="shared" si="0"/>
        <v>12380</v>
      </c>
    </row>
    <row r="15" spans="1:7" x14ac:dyDescent="0.25">
      <c r="A15" s="81">
        <v>12</v>
      </c>
      <c r="B15" s="81" t="s">
        <v>787</v>
      </c>
      <c r="C15" s="81"/>
      <c r="D15" s="81">
        <v>4371</v>
      </c>
      <c r="E15" s="82">
        <v>11000</v>
      </c>
      <c r="F15" s="82">
        <v>9610</v>
      </c>
      <c r="G15" s="41">
        <f t="shared" si="0"/>
        <v>20610</v>
      </c>
    </row>
    <row r="16" spans="1:7" x14ac:dyDescent="0.25">
      <c r="A16" s="81">
        <v>13</v>
      </c>
      <c r="B16" s="81" t="s">
        <v>901</v>
      </c>
      <c r="C16" s="81"/>
      <c r="D16" s="81">
        <v>4160</v>
      </c>
      <c r="E16" s="82">
        <v>11000</v>
      </c>
      <c r="F16" s="82">
        <v>6020</v>
      </c>
      <c r="G16" s="41">
        <f t="shared" si="0"/>
        <v>17020</v>
      </c>
    </row>
    <row r="17" spans="1:9" x14ac:dyDescent="0.25">
      <c r="A17" s="81">
        <v>14</v>
      </c>
      <c r="B17" s="81" t="s">
        <v>772</v>
      </c>
      <c r="C17" s="81"/>
      <c r="D17" s="81">
        <v>4358</v>
      </c>
      <c r="E17" s="82">
        <v>11000</v>
      </c>
      <c r="F17" s="82">
        <v>9000</v>
      </c>
      <c r="G17" s="41">
        <f t="shared" si="0"/>
        <v>20000</v>
      </c>
    </row>
    <row r="18" spans="1:9" x14ac:dyDescent="0.25">
      <c r="A18" s="81">
        <v>15</v>
      </c>
      <c r="B18" s="81" t="s">
        <v>575</v>
      </c>
      <c r="C18" s="81"/>
      <c r="D18" s="81">
        <v>4328</v>
      </c>
      <c r="E18" s="82">
        <v>11000</v>
      </c>
      <c r="F18" s="82">
        <v>9000</v>
      </c>
      <c r="G18" s="82">
        <f t="shared" si="0"/>
        <v>20000</v>
      </c>
    </row>
    <row r="19" spans="1:9" x14ac:dyDescent="0.25">
      <c r="A19" s="81">
        <v>16</v>
      </c>
      <c r="B19" s="81" t="s">
        <v>746</v>
      </c>
      <c r="C19" s="81" t="s">
        <v>0</v>
      </c>
      <c r="D19" s="81">
        <v>4324</v>
      </c>
      <c r="E19" s="82">
        <v>25720</v>
      </c>
      <c r="F19" s="82">
        <v>0</v>
      </c>
      <c r="G19" s="41">
        <f t="shared" si="0"/>
        <v>25720</v>
      </c>
    </row>
    <row r="20" spans="1:9" x14ac:dyDescent="0.25">
      <c r="A20" s="81">
        <v>17</v>
      </c>
      <c r="B20" s="81" t="s">
        <v>784</v>
      </c>
      <c r="C20" s="81"/>
      <c r="D20" s="81">
        <v>4378</v>
      </c>
      <c r="E20" s="82">
        <v>11000</v>
      </c>
      <c r="F20" s="82">
        <v>3000</v>
      </c>
      <c r="G20" s="82">
        <f t="shared" si="0"/>
        <v>14000</v>
      </c>
    </row>
    <row r="21" spans="1:9" x14ac:dyDescent="0.25">
      <c r="A21" s="81">
        <v>18</v>
      </c>
      <c r="B21" s="81" t="s">
        <v>898</v>
      </c>
      <c r="C21" s="81"/>
      <c r="D21" s="81">
        <v>4502</v>
      </c>
      <c r="E21" s="82">
        <v>11000</v>
      </c>
      <c r="F21" s="82">
        <v>2200</v>
      </c>
      <c r="G21" s="82">
        <f t="shared" si="0"/>
        <v>13200</v>
      </c>
    </row>
    <row r="22" spans="1:9" x14ac:dyDescent="0.25">
      <c r="A22" s="81">
        <v>19</v>
      </c>
      <c r="B22" s="81" t="s">
        <v>767</v>
      </c>
      <c r="C22" s="81"/>
      <c r="D22" s="81">
        <v>4351</v>
      </c>
      <c r="E22" s="82">
        <v>11000</v>
      </c>
      <c r="F22" s="82">
        <v>1000</v>
      </c>
      <c r="G22" s="41">
        <f t="shared" si="0"/>
        <v>12000</v>
      </c>
    </row>
    <row r="23" spans="1:9" x14ac:dyDescent="0.25">
      <c r="A23" s="81">
        <v>20</v>
      </c>
      <c r="B23" s="81" t="s">
        <v>775</v>
      </c>
      <c r="C23" s="81"/>
      <c r="D23" s="81">
        <v>4361</v>
      </c>
      <c r="E23" s="82">
        <v>11000</v>
      </c>
      <c r="F23" s="82">
        <v>1090</v>
      </c>
      <c r="G23" s="82">
        <f t="shared" si="0"/>
        <v>12090</v>
      </c>
      <c r="I23" t="s">
        <v>2</v>
      </c>
    </row>
    <row r="24" spans="1:9" x14ac:dyDescent="0.25">
      <c r="A24" s="81">
        <v>21</v>
      </c>
      <c r="B24" s="81" t="s">
        <v>744</v>
      </c>
      <c r="C24" s="81"/>
      <c r="D24" s="81">
        <v>4315</v>
      </c>
      <c r="E24" s="82">
        <v>1000</v>
      </c>
      <c r="F24" s="82">
        <v>0</v>
      </c>
      <c r="G24" s="41">
        <f t="shared" si="0"/>
        <v>1000</v>
      </c>
    </row>
    <row r="25" spans="1:9" x14ac:dyDescent="0.25">
      <c r="A25" s="81">
        <v>22</v>
      </c>
      <c r="B25" s="81" t="s">
        <v>766</v>
      </c>
      <c r="C25" s="81"/>
      <c r="D25" s="81">
        <v>4349</v>
      </c>
      <c r="E25" s="82">
        <v>7430</v>
      </c>
      <c r="F25" s="82">
        <v>0</v>
      </c>
      <c r="G25" s="41">
        <f t="shared" si="0"/>
        <v>7430</v>
      </c>
    </row>
    <row r="26" spans="1:9" x14ac:dyDescent="0.25">
      <c r="A26" s="81">
        <v>23</v>
      </c>
      <c r="B26" s="81" t="s">
        <v>782</v>
      </c>
      <c r="C26" s="81"/>
      <c r="D26" s="81">
        <v>4372</v>
      </c>
      <c r="E26" s="82">
        <v>11000</v>
      </c>
      <c r="F26" s="82">
        <v>1100</v>
      </c>
      <c r="G26" s="82">
        <f t="shared" si="0"/>
        <v>12100</v>
      </c>
    </row>
    <row r="27" spans="1:9" x14ac:dyDescent="0.25">
      <c r="A27" s="81">
        <v>24</v>
      </c>
      <c r="B27" s="81" t="s">
        <v>957</v>
      </c>
      <c r="C27" s="81"/>
      <c r="D27" s="81">
        <v>4613</v>
      </c>
      <c r="E27" s="82">
        <v>8300</v>
      </c>
      <c r="F27" s="82">
        <v>0</v>
      </c>
      <c r="G27" s="82">
        <f t="shared" si="0"/>
        <v>8300</v>
      </c>
    </row>
    <row r="28" spans="1:9" x14ac:dyDescent="0.25">
      <c r="A28" s="81">
        <v>25</v>
      </c>
      <c r="B28" s="81" t="s">
        <v>760</v>
      </c>
      <c r="C28" s="81"/>
      <c r="D28" s="81">
        <v>4343</v>
      </c>
      <c r="E28" s="82">
        <v>9500</v>
      </c>
      <c r="F28" s="82">
        <v>0</v>
      </c>
      <c r="G28" s="82">
        <f t="shared" si="0"/>
        <v>9500</v>
      </c>
    </row>
    <row r="29" spans="1:9" x14ac:dyDescent="0.25">
      <c r="A29" s="81">
        <v>26</v>
      </c>
      <c r="B29" s="81" t="s">
        <v>881</v>
      </c>
      <c r="C29" s="81"/>
      <c r="D29" s="81">
        <v>4295</v>
      </c>
      <c r="E29" s="82">
        <v>5500</v>
      </c>
      <c r="F29" s="82">
        <v>0</v>
      </c>
      <c r="G29" s="41">
        <f t="shared" si="0"/>
        <v>5500</v>
      </c>
    </row>
    <row r="30" spans="1:9" x14ac:dyDescent="0.25">
      <c r="A30" s="81">
        <v>27</v>
      </c>
      <c r="B30" s="81" t="s">
        <v>732</v>
      </c>
      <c r="C30" s="81" t="s">
        <v>0</v>
      </c>
      <c r="D30" s="81">
        <v>4298</v>
      </c>
      <c r="E30" s="82">
        <v>10830</v>
      </c>
      <c r="F30" s="82">
        <v>0</v>
      </c>
      <c r="G30" s="82">
        <f t="shared" si="0"/>
        <v>10830</v>
      </c>
    </row>
    <row r="31" spans="1:9" x14ac:dyDescent="0.25">
      <c r="A31" s="81">
        <v>28</v>
      </c>
      <c r="B31" s="81" t="s">
        <v>770</v>
      </c>
      <c r="C31" s="81"/>
      <c r="D31" s="81">
        <v>4356</v>
      </c>
      <c r="E31" s="82">
        <v>8200</v>
      </c>
      <c r="F31" s="82">
        <v>0</v>
      </c>
      <c r="G31" s="82">
        <f t="shared" si="0"/>
        <v>8200</v>
      </c>
    </row>
    <row r="32" spans="1:9" x14ac:dyDescent="0.25">
      <c r="A32" s="81">
        <v>29</v>
      </c>
      <c r="B32" s="81" t="s">
        <v>736</v>
      </c>
      <c r="C32" s="81" t="s">
        <v>0</v>
      </c>
      <c r="D32" s="81">
        <v>4307</v>
      </c>
      <c r="E32" s="82">
        <v>26400</v>
      </c>
      <c r="F32" s="82">
        <v>0</v>
      </c>
      <c r="G32" s="82">
        <f t="shared" si="0"/>
        <v>26400</v>
      </c>
    </row>
    <row r="33" spans="1:10" x14ac:dyDescent="0.25">
      <c r="A33" s="81">
        <v>30</v>
      </c>
      <c r="B33" s="81" t="s">
        <v>754</v>
      </c>
      <c r="C33" s="81" t="s">
        <v>0</v>
      </c>
      <c r="D33" s="81">
        <v>4335</v>
      </c>
      <c r="E33" s="82">
        <v>27990</v>
      </c>
      <c r="F33" s="82">
        <v>0</v>
      </c>
      <c r="G33" s="41">
        <f t="shared" si="0"/>
        <v>27990</v>
      </c>
    </row>
    <row r="34" spans="1:10" x14ac:dyDescent="0.25">
      <c r="A34" s="81">
        <v>31</v>
      </c>
      <c r="B34" s="81" t="s">
        <v>779</v>
      </c>
      <c r="C34" s="81"/>
      <c r="D34" s="81">
        <v>4369</v>
      </c>
      <c r="E34" s="82">
        <v>5600</v>
      </c>
      <c r="F34" s="82">
        <v>0</v>
      </c>
      <c r="G34" s="82">
        <f t="shared" si="0"/>
        <v>5600</v>
      </c>
    </row>
    <row r="35" spans="1:10" x14ac:dyDescent="0.25">
      <c r="A35" s="81">
        <v>32</v>
      </c>
      <c r="B35" s="81" t="s">
        <v>755</v>
      </c>
      <c r="C35" s="81" t="s">
        <v>0</v>
      </c>
      <c r="D35" s="81">
        <v>4337</v>
      </c>
      <c r="E35" s="82">
        <v>26250</v>
      </c>
      <c r="F35" s="82">
        <v>0</v>
      </c>
      <c r="G35" s="82">
        <f t="shared" si="0"/>
        <v>26250</v>
      </c>
    </row>
    <row r="36" spans="1:10" x14ac:dyDescent="0.25">
      <c r="A36" s="81">
        <v>33</v>
      </c>
      <c r="B36" s="81" t="s">
        <v>747</v>
      </c>
      <c r="C36" s="81"/>
      <c r="D36" s="81">
        <v>4326</v>
      </c>
      <c r="E36" s="82">
        <v>4730</v>
      </c>
      <c r="F36" s="82">
        <v>0</v>
      </c>
      <c r="G36" s="82">
        <f t="shared" si="0"/>
        <v>4730</v>
      </c>
    </row>
    <row r="37" spans="1:10" x14ac:dyDescent="0.25">
      <c r="A37" s="81">
        <v>34</v>
      </c>
      <c r="B37" s="81" t="s">
        <v>873</v>
      </c>
      <c r="C37" s="81"/>
      <c r="D37" s="81">
        <v>4473</v>
      </c>
      <c r="E37" s="82">
        <v>3100</v>
      </c>
      <c r="F37" s="82">
        <v>0</v>
      </c>
      <c r="G37" s="82">
        <f t="shared" si="0"/>
        <v>3100</v>
      </c>
    </row>
    <row r="38" spans="1:10" x14ac:dyDescent="0.25">
      <c r="A38" s="81">
        <v>35</v>
      </c>
      <c r="B38" s="81" t="s">
        <v>737</v>
      </c>
      <c r="C38" s="81"/>
      <c r="D38" s="81">
        <v>4309</v>
      </c>
      <c r="E38" s="82">
        <v>2500</v>
      </c>
      <c r="F38" s="82">
        <v>0</v>
      </c>
      <c r="G38" s="82">
        <f t="shared" si="0"/>
        <v>2500</v>
      </c>
      <c r="J38" t="s">
        <v>2</v>
      </c>
    </row>
    <row r="39" spans="1:10" x14ac:dyDescent="0.25">
      <c r="A39" s="81">
        <v>36</v>
      </c>
      <c r="B39" s="81" t="s">
        <v>742</v>
      </c>
      <c r="C39" s="81"/>
      <c r="D39" s="81">
        <v>4311</v>
      </c>
      <c r="E39" s="82">
        <v>0</v>
      </c>
      <c r="F39" s="82">
        <v>0</v>
      </c>
      <c r="G39" s="82">
        <f t="shared" si="0"/>
        <v>0</v>
      </c>
    </row>
    <row r="40" spans="1:10" x14ac:dyDescent="0.25">
      <c r="A40" s="81">
        <v>37</v>
      </c>
      <c r="B40" s="81" t="s">
        <v>902</v>
      </c>
      <c r="C40" s="81"/>
      <c r="D40" s="81">
        <v>4501</v>
      </c>
      <c r="E40" s="82">
        <v>5250</v>
      </c>
      <c r="F40" s="82">
        <v>0</v>
      </c>
      <c r="G40" s="82">
        <f t="shared" si="0"/>
        <v>5250</v>
      </c>
    </row>
    <row r="41" spans="1:10" x14ac:dyDescent="0.25">
      <c r="A41" s="81">
        <v>38</v>
      </c>
      <c r="B41" s="81" t="s">
        <v>758</v>
      </c>
      <c r="C41" s="81"/>
      <c r="D41" s="81">
        <v>4341</v>
      </c>
      <c r="E41" s="82">
        <v>1050</v>
      </c>
      <c r="F41" s="82">
        <v>0</v>
      </c>
      <c r="G41" s="82">
        <f t="shared" si="0"/>
        <v>1050</v>
      </c>
    </row>
    <row r="42" spans="1:10" x14ac:dyDescent="0.25">
      <c r="A42" s="81">
        <v>39</v>
      </c>
      <c r="B42" s="81" t="s">
        <v>1032</v>
      </c>
      <c r="C42" s="81"/>
      <c r="D42" s="81">
        <v>4677</v>
      </c>
      <c r="E42" s="82">
        <v>9000</v>
      </c>
      <c r="F42" s="82">
        <v>0</v>
      </c>
      <c r="G42" s="82">
        <f t="shared" si="0"/>
        <v>9000</v>
      </c>
    </row>
    <row r="43" spans="1:10" x14ac:dyDescent="0.25">
      <c r="A43" s="81">
        <v>40</v>
      </c>
      <c r="B43" s="81" t="s">
        <v>1035</v>
      </c>
      <c r="C43" s="81" t="s">
        <v>0</v>
      </c>
      <c r="D43" s="81">
        <v>4669</v>
      </c>
      <c r="E43" s="82">
        <v>30500</v>
      </c>
      <c r="F43" s="82">
        <v>0</v>
      </c>
      <c r="G43" s="82">
        <f t="shared" si="0"/>
        <v>30500</v>
      </c>
    </row>
    <row r="44" spans="1:10" x14ac:dyDescent="0.25">
      <c r="A44" s="81">
        <v>41</v>
      </c>
      <c r="B44" s="81" t="s">
        <v>1036</v>
      </c>
      <c r="C44" s="81" t="s">
        <v>0</v>
      </c>
      <c r="D44" s="81">
        <v>4676</v>
      </c>
      <c r="E44" s="82">
        <v>32500</v>
      </c>
      <c r="F44" s="82">
        <v>0</v>
      </c>
      <c r="G44" s="82">
        <f t="shared" si="0"/>
        <v>32500</v>
      </c>
    </row>
    <row r="45" spans="1:10" x14ac:dyDescent="0.25">
      <c r="A45" s="81">
        <v>42</v>
      </c>
      <c r="B45" s="81" t="s">
        <v>1044</v>
      </c>
      <c r="C45" s="81" t="s">
        <v>0</v>
      </c>
      <c r="D45" s="81">
        <v>4681</v>
      </c>
      <c r="E45" s="82">
        <v>26500</v>
      </c>
      <c r="F45" s="82">
        <v>0</v>
      </c>
      <c r="G45" s="82">
        <f t="shared" si="0"/>
        <v>26500</v>
      </c>
    </row>
    <row r="46" spans="1:10" x14ac:dyDescent="0.25">
      <c r="A46" s="40"/>
      <c r="B46" s="40" t="s">
        <v>57</v>
      </c>
      <c r="C46" s="40"/>
      <c r="D46" s="40"/>
      <c r="E46" s="43">
        <f>SUM(E4:E44)</f>
        <v>559850</v>
      </c>
      <c r="F46" s="43">
        <f>SUM(F4:F44)</f>
        <v>220625</v>
      </c>
      <c r="G46" s="43">
        <f>SUM(G4:G44)</f>
        <v>780475</v>
      </c>
    </row>
    <row r="47" spans="1:10" x14ac:dyDescent="0.25">
      <c r="E47" s="1"/>
      <c r="F47" s="1"/>
      <c r="G47" s="1"/>
    </row>
  </sheetData>
  <sortState ref="A3:G46">
    <sortCondition descending="1" ref="G3:G46"/>
  </sortState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Q35"/>
  <sheetViews>
    <sheetView workbookViewId="0">
      <selection activeCell="G24" sqref="G24"/>
    </sheetView>
  </sheetViews>
  <sheetFormatPr defaultRowHeight="15" x14ac:dyDescent="0.25"/>
  <cols>
    <col min="1" max="1" width="4" customWidth="1"/>
    <col min="2" max="2" width="33.85546875" customWidth="1"/>
    <col min="3" max="3" width="5.7109375" customWidth="1"/>
    <col min="4" max="4" width="10.42578125" customWidth="1"/>
    <col min="5" max="5" width="9.7109375" customWidth="1"/>
    <col min="6" max="6" width="11.28515625" customWidth="1"/>
    <col min="19" max="19" width="9.140625" customWidth="1"/>
  </cols>
  <sheetData>
    <row r="1" spans="1:17" x14ac:dyDescent="0.25">
      <c r="A1" s="66" t="s">
        <v>793</v>
      </c>
      <c r="B1" s="66" t="s">
        <v>1042</v>
      </c>
      <c r="C1" s="66"/>
      <c r="D1" s="66"/>
      <c r="E1" s="66"/>
      <c r="F1" s="66"/>
      <c r="G1" s="40"/>
    </row>
    <row r="2" spans="1:17" x14ac:dyDescent="0.25">
      <c r="A2" s="66" t="s">
        <v>413</v>
      </c>
      <c r="B2" s="66" t="s">
        <v>116</v>
      </c>
      <c r="C2" s="66"/>
      <c r="D2" s="66" t="s">
        <v>284</v>
      </c>
      <c r="E2" s="66" t="s">
        <v>114</v>
      </c>
      <c r="F2" s="66" t="s">
        <v>4</v>
      </c>
      <c r="G2" s="66" t="s">
        <v>113</v>
      </c>
    </row>
    <row r="3" spans="1:17" x14ac:dyDescent="0.25">
      <c r="A3" s="81">
        <v>1</v>
      </c>
      <c r="B3" s="81" t="s">
        <v>762</v>
      </c>
      <c r="C3" s="81" t="s">
        <v>0</v>
      </c>
      <c r="D3" s="81">
        <v>4346</v>
      </c>
      <c r="E3" s="82">
        <v>40500</v>
      </c>
      <c r="F3" s="82">
        <v>27720</v>
      </c>
      <c r="G3" s="41">
        <f t="shared" ref="G3:G34" si="0">SUM(E3:F3)</f>
        <v>68220</v>
      </c>
    </row>
    <row r="4" spans="1:17" x14ac:dyDescent="0.25">
      <c r="A4" s="81">
        <v>2</v>
      </c>
      <c r="B4" s="81" t="s">
        <v>778</v>
      </c>
      <c r="C4" s="81"/>
      <c r="D4" s="81">
        <v>4367</v>
      </c>
      <c r="E4" s="81">
        <v>11000</v>
      </c>
      <c r="F4" s="82">
        <v>18620</v>
      </c>
      <c r="G4" s="41">
        <f t="shared" si="0"/>
        <v>29620</v>
      </c>
    </row>
    <row r="5" spans="1:17" x14ac:dyDescent="0.25">
      <c r="A5" s="81">
        <v>3</v>
      </c>
      <c r="B5" s="81" t="s">
        <v>862</v>
      </c>
      <c r="C5" s="81"/>
      <c r="D5" s="81">
        <v>4428</v>
      </c>
      <c r="E5" s="81">
        <v>11000</v>
      </c>
      <c r="F5" s="82">
        <v>18500</v>
      </c>
      <c r="G5" s="41">
        <f t="shared" si="0"/>
        <v>29500</v>
      </c>
    </row>
    <row r="6" spans="1:17" x14ac:dyDescent="0.25">
      <c r="A6" s="81">
        <v>4</v>
      </c>
      <c r="B6" s="81" t="s">
        <v>763</v>
      </c>
      <c r="C6" s="81"/>
      <c r="D6" s="81">
        <v>4352</v>
      </c>
      <c r="E6" s="82">
        <v>11000</v>
      </c>
      <c r="F6" s="82">
        <v>16950</v>
      </c>
      <c r="G6" s="41">
        <f t="shared" si="0"/>
        <v>27950</v>
      </c>
    </row>
    <row r="7" spans="1:17" x14ac:dyDescent="0.25">
      <c r="A7" s="81">
        <v>5</v>
      </c>
      <c r="B7" s="81" t="s">
        <v>738</v>
      </c>
      <c r="C7" s="81" t="s">
        <v>0</v>
      </c>
      <c r="D7" s="81">
        <v>4308</v>
      </c>
      <c r="E7" s="82">
        <v>40500</v>
      </c>
      <c r="F7" s="81">
        <v>15930</v>
      </c>
      <c r="G7" s="41">
        <f t="shared" si="0"/>
        <v>56430</v>
      </c>
    </row>
    <row r="8" spans="1:17" x14ac:dyDescent="0.25">
      <c r="A8" s="81">
        <v>6</v>
      </c>
      <c r="B8" s="81" t="s">
        <v>757</v>
      </c>
      <c r="C8" s="81"/>
      <c r="D8" s="81">
        <v>4338</v>
      </c>
      <c r="E8" s="82">
        <v>11000</v>
      </c>
      <c r="F8" s="81">
        <v>14810</v>
      </c>
      <c r="G8" s="41">
        <f t="shared" si="0"/>
        <v>25810</v>
      </c>
      <c r="Q8" t="s">
        <v>908</v>
      </c>
    </row>
    <row r="9" spans="1:17" x14ac:dyDescent="0.25">
      <c r="A9" s="81">
        <v>7</v>
      </c>
      <c r="B9" s="81" t="s">
        <v>751</v>
      </c>
      <c r="C9" s="81" t="s">
        <v>803</v>
      </c>
      <c r="D9" s="81">
        <v>4331</v>
      </c>
      <c r="E9" s="81">
        <v>11000</v>
      </c>
      <c r="F9" s="82">
        <v>8540</v>
      </c>
      <c r="G9" s="41">
        <f t="shared" si="0"/>
        <v>19540</v>
      </c>
    </row>
    <row r="10" spans="1:17" x14ac:dyDescent="0.25">
      <c r="A10" s="81">
        <v>8</v>
      </c>
      <c r="B10" s="81" t="s">
        <v>589</v>
      </c>
      <c r="C10" s="81" t="s">
        <v>0</v>
      </c>
      <c r="D10" s="81">
        <v>4296</v>
      </c>
      <c r="E10" s="82">
        <v>36200</v>
      </c>
      <c r="F10" s="82">
        <v>0</v>
      </c>
      <c r="G10" s="41">
        <f t="shared" si="0"/>
        <v>36200</v>
      </c>
    </row>
    <row r="11" spans="1:17" x14ac:dyDescent="0.25">
      <c r="A11" s="81">
        <v>9</v>
      </c>
      <c r="B11" s="81" t="s">
        <v>771</v>
      </c>
      <c r="C11" s="81"/>
      <c r="D11" s="81">
        <v>4357</v>
      </c>
      <c r="E11" s="82">
        <v>11000</v>
      </c>
      <c r="F11" s="81">
        <v>6100</v>
      </c>
      <c r="G11" s="41">
        <f t="shared" si="0"/>
        <v>17100</v>
      </c>
    </row>
    <row r="12" spans="1:17" x14ac:dyDescent="0.25">
      <c r="A12" s="81">
        <v>10</v>
      </c>
      <c r="B12" s="81" t="s">
        <v>745</v>
      </c>
      <c r="C12" s="81" t="s">
        <v>0</v>
      </c>
      <c r="D12" s="81">
        <v>4323</v>
      </c>
      <c r="E12" s="82">
        <v>26470</v>
      </c>
      <c r="F12" s="82"/>
      <c r="G12" s="41">
        <f t="shared" si="0"/>
        <v>26470</v>
      </c>
    </row>
    <row r="13" spans="1:17" x14ac:dyDescent="0.25">
      <c r="A13" s="81">
        <v>11</v>
      </c>
      <c r="B13" s="81" t="s">
        <v>741</v>
      </c>
      <c r="C13" s="81"/>
      <c r="D13" s="81">
        <v>4312</v>
      </c>
      <c r="E13" s="82">
        <v>11000</v>
      </c>
      <c r="F13" s="81">
        <v>9000</v>
      </c>
      <c r="G13" s="82">
        <f t="shared" si="0"/>
        <v>20000</v>
      </c>
    </row>
    <row r="14" spans="1:17" x14ac:dyDescent="0.25">
      <c r="A14" s="81">
        <v>12</v>
      </c>
      <c r="B14" s="81" t="s">
        <v>764</v>
      </c>
      <c r="C14" s="81"/>
      <c r="D14" s="81">
        <v>4290</v>
      </c>
      <c r="E14" s="82">
        <v>11000</v>
      </c>
      <c r="F14" s="81">
        <v>6200</v>
      </c>
      <c r="G14" s="82">
        <f t="shared" si="0"/>
        <v>17200</v>
      </c>
    </row>
    <row r="15" spans="1:17" x14ac:dyDescent="0.25">
      <c r="A15" s="81">
        <v>13</v>
      </c>
      <c r="B15" s="81" t="s">
        <v>774</v>
      </c>
      <c r="C15" s="81"/>
      <c r="D15" s="81">
        <v>4362</v>
      </c>
      <c r="E15" s="82">
        <v>11000</v>
      </c>
      <c r="F15" s="81">
        <v>2060</v>
      </c>
      <c r="G15" s="41">
        <f t="shared" si="0"/>
        <v>13060</v>
      </c>
    </row>
    <row r="16" spans="1:17" x14ac:dyDescent="0.25">
      <c r="A16" s="81">
        <v>14</v>
      </c>
      <c r="B16" s="81" t="s">
        <v>909</v>
      </c>
      <c r="C16" s="81"/>
      <c r="D16" s="81">
        <v>4507</v>
      </c>
      <c r="E16" s="82">
        <v>8972</v>
      </c>
      <c r="F16" s="81">
        <v>0</v>
      </c>
      <c r="G16" s="82">
        <f t="shared" si="0"/>
        <v>8972</v>
      </c>
      <c r="I16" t="s">
        <v>2</v>
      </c>
    </row>
    <row r="17" spans="1:7" x14ac:dyDescent="0.25">
      <c r="A17" s="81">
        <v>15</v>
      </c>
      <c r="B17" s="81" t="s">
        <v>749</v>
      </c>
      <c r="C17" s="81"/>
      <c r="D17" s="81">
        <v>4327</v>
      </c>
      <c r="E17" s="82">
        <v>5120</v>
      </c>
      <c r="F17" s="81">
        <v>0</v>
      </c>
      <c r="G17" s="82">
        <f t="shared" si="0"/>
        <v>5120</v>
      </c>
    </row>
    <row r="18" spans="1:7" x14ac:dyDescent="0.25">
      <c r="A18" s="81">
        <v>16</v>
      </c>
      <c r="B18" s="81" t="s">
        <v>768</v>
      </c>
      <c r="C18" s="81"/>
      <c r="D18" s="81">
        <v>4354</v>
      </c>
      <c r="E18" s="82">
        <v>10900</v>
      </c>
      <c r="F18" s="81">
        <v>0</v>
      </c>
      <c r="G18" s="41">
        <f t="shared" si="0"/>
        <v>10900</v>
      </c>
    </row>
    <row r="19" spans="1:7" x14ac:dyDescent="0.25">
      <c r="A19" s="81">
        <v>17</v>
      </c>
      <c r="B19" s="81" t="s">
        <v>759</v>
      </c>
      <c r="C19" s="81" t="s">
        <v>0</v>
      </c>
      <c r="D19" s="81">
        <v>4342</v>
      </c>
      <c r="E19" s="82">
        <v>40500</v>
      </c>
      <c r="F19" s="81">
        <v>3500</v>
      </c>
      <c r="G19" s="41">
        <f t="shared" si="0"/>
        <v>44000</v>
      </c>
    </row>
    <row r="20" spans="1:7" x14ac:dyDescent="0.25">
      <c r="A20" s="81">
        <v>18</v>
      </c>
      <c r="B20" s="81" t="s">
        <v>903</v>
      </c>
      <c r="C20" s="81"/>
      <c r="D20" s="81">
        <v>4496</v>
      </c>
      <c r="E20" s="82">
        <v>11000</v>
      </c>
      <c r="F20" s="81">
        <v>1280</v>
      </c>
      <c r="G20" s="82">
        <f t="shared" si="0"/>
        <v>12280</v>
      </c>
    </row>
    <row r="21" spans="1:7" x14ac:dyDescent="0.25">
      <c r="A21" s="81">
        <v>19</v>
      </c>
      <c r="B21" s="81" t="s">
        <v>753</v>
      </c>
      <c r="C21" s="81"/>
      <c r="D21" s="81">
        <v>4334</v>
      </c>
      <c r="E21" s="82">
        <v>6700</v>
      </c>
      <c r="F21" s="81">
        <v>0</v>
      </c>
      <c r="G21" s="82">
        <f t="shared" si="0"/>
        <v>6700</v>
      </c>
    </row>
    <row r="22" spans="1:7" x14ac:dyDescent="0.25">
      <c r="A22" s="81">
        <v>20</v>
      </c>
      <c r="B22" s="81" t="s">
        <v>739</v>
      </c>
      <c r="C22" s="81" t="s">
        <v>0</v>
      </c>
      <c r="D22" s="81">
        <v>4310</v>
      </c>
      <c r="E22" s="82">
        <v>35110</v>
      </c>
      <c r="F22" s="81">
        <v>0</v>
      </c>
      <c r="G22" s="82">
        <f t="shared" si="0"/>
        <v>35110</v>
      </c>
    </row>
    <row r="23" spans="1:7" x14ac:dyDescent="0.25">
      <c r="A23" s="81">
        <v>21</v>
      </c>
      <c r="B23" s="81" t="s">
        <v>748</v>
      </c>
      <c r="C23" s="81"/>
      <c r="D23" s="81">
        <v>4325</v>
      </c>
      <c r="E23" s="82">
        <v>7120</v>
      </c>
      <c r="F23" s="81">
        <v>0</v>
      </c>
      <c r="G23" s="82">
        <f t="shared" si="0"/>
        <v>7120</v>
      </c>
    </row>
    <row r="24" spans="1:7" x14ac:dyDescent="0.25">
      <c r="A24" s="81">
        <v>22</v>
      </c>
      <c r="B24" s="81" t="s">
        <v>955</v>
      </c>
      <c r="C24" s="81"/>
      <c r="D24" s="81">
        <v>4512</v>
      </c>
      <c r="E24" s="150" t="s">
        <v>1050</v>
      </c>
      <c r="F24" s="81">
        <v>0</v>
      </c>
      <c r="G24" s="150">
        <v>5000</v>
      </c>
    </row>
    <row r="25" spans="1:7" x14ac:dyDescent="0.25">
      <c r="A25" s="81">
        <v>23</v>
      </c>
      <c r="B25" s="81" t="s">
        <v>796</v>
      </c>
      <c r="C25" s="81" t="s">
        <v>0</v>
      </c>
      <c r="D25" s="81">
        <v>4294</v>
      </c>
      <c r="E25" s="82">
        <v>20500</v>
      </c>
      <c r="F25" s="82">
        <v>0</v>
      </c>
      <c r="G25" s="41">
        <f>SUM(E25:F25)</f>
        <v>20500</v>
      </c>
    </row>
    <row r="26" spans="1:7" x14ac:dyDescent="0.25">
      <c r="A26" s="81">
        <v>24</v>
      </c>
      <c r="B26" s="81" t="s">
        <v>752</v>
      </c>
      <c r="C26" s="81"/>
      <c r="D26" s="81">
        <v>4333</v>
      </c>
      <c r="E26" s="82">
        <v>4790</v>
      </c>
      <c r="F26" s="81">
        <v>0</v>
      </c>
      <c r="G26" s="82">
        <f t="shared" si="0"/>
        <v>4790</v>
      </c>
    </row>
    <row r="27" spans="1:7" x14ac:dyDescent="0.25">
      <c r="A27" s="81">
        <v>25</v>
      </c>
      <c r="B27" s="81" t="s">
        <v>783</v>
      </c>
      <c r="C27" s="81" t="s">
        <v>0</v>
      </c>
      <c r="D27" s="81">
        <v>4375</v>
      </c>
      <c r="E27" s="82">
        <v>10500</v>
      </c>
      <c r="F27" s="81">
        <v>0</v>
      </c>
      <c r="G27" s="82">
        <f t="shared" si="0"/>
        <v>10500</v>
      </c>
    </row>
    <row r="28" spans="1:7" x14ac:dyDescent="0.25">
      <c r="A28" s="81">
        <v>26</v>
      </c>
      <c r="B28" s="81" t="s">
        <v>789</v>
      </c>
      <c r="C28" s="81"/>
      <c r="D28" s="81">
        <v>4385</v>
      </c>
      <c r="E28" s="82">
        <v>1500</v>
      </c>
      <c r="F28" s="81">
        <v>0</v>
      </c>
      <c r="G28" s="41">
        <f t="shared" si="0"/>
        <v>1500</v>
      </c>
    </row>
    <row r="29" spans="1:7" x14ac:dyDescent="0.25">
      <c r="A29" s="81">
        <v>27</v>
      </c>
      <c r="B29" s="81" t="s">
        <v>765</v>
      </c>
      <c r="C29" s="81"/>
      <c r="D29" s="81">
        <v>4348</v>
      </c>
      <c r="E29" s="82">
        <v>6500</v>
      </c>
      <c r="F29" s="81">
        <v>0</v>
      </c>
      <c r="G29" s="41">
        <f t="shared" si="0"/>
        <v>6500</v>
      </c>
    </row>
    <row r="30" spans="1:7" x14ac:dyDescent="0.25">
      <c r="A30" s="81">
        <v>28</v>
      </c>
      <c r="B30" s="81" t="s">
        <v>750</v>
      </c>
      <c r="C30" s="81" t="s">
        <v>0</v>
      </c>
      <c r="D30" s="81">
        <v>4329</v>
      </c>
      <c r="E30" s="82">
        <v>33700</v>
      </c>
      <c r="F30" s="82">
        <v>0</v>
      </c>
      <c r="G30" s="82">
        <f t="shared" si="0"/>
        <v>33700</v>
      </c>
    </row>
    <row r="31" spans="1:7" x14ac:dyDescent="0.25">
      <c r="A31" s="81">
        <v>29</v>
      </c>
      <c r="B31" s="81" t="s">
        <v>1002</v>
      </c>
      <c r="C31" s="81"/>
      <c r="D31" s="81">
        <v>4423</v>
      </c>
      <c r="E31" s="82">
        <v>8000</v>
      </c>
      <c r="F31" s="82">
        <v>0</v>
      </c>
      <c r="G31" s="82">
        <f t="shared" si="0"/>
        <v>8000</v>
      </c>
    </row>
    <row r="32" spans="1:7" x14ac:dyDescent="0.25">
      <c r="A32" s="81">
        <v>30</v>
      </c>
      <c r="B32" s="81" t="s">
        <v>1008</v>
      </c>
      <c r="C32" s="81"/>
      <c r="D32" s="81">
        <v>4243</v>
      </c>
      <c r="E32" s="82">
        <v>4000</v>
      </c>
      <c r="F32" s="82">
        <v>0</v>
      </c>
      <c r="G32" s="82">
        <f t="shared" si="0"/>
        <v>4000</v>
      </c>
    </row>
    <row r="33" spans="1:7" x14ac:dyDescent="0.25">
      <c r="A33" s="81">
        <v>31</v>
      </c>
      <c r="B33" s="81" t="s">
        <v>1047</v>
      </c>
      <c r="C33" s="81"/>
      <c r="D33" s="81">
        <v>4647</v>
      </c>
      <c r="E33" s="82">
        <v>4200</v>
      </c>
      <c r="F33" s="82">
        <v>0</v>
      </c>
      <c r="G33" s="82">
        <f t="shared" si="0"/>
        <v>4200</v>
      </c>
    </row>
    <row r="34" spans="1:7" x14ac:dyDescent="0.25">
      <c r="A34" s="81">
        <v>32</v>
      </c>
      <c r="B34" s="81" t="s">
        <v>1048</v>
      </c>
      <c r="C34" s="81"/>
      <c r="D34" s="81">
        <v>4322</v>
      </c>
      <c r="E34" s="82">
        <v>11000</v>
      </c>
      <c r="F34" s="82">
        <v>21500</v>
      </c>
      <c r="G34" s="82">
        <f t="shared" si="0"/>
        <v>32500</v>
      </c>
    </row>
    <row r="35" spans="1:7" x14ac:dyDescent="0.25">
      <c r="A35" s="40"/>
      <c r="B35" s="40" t="s">
        <v>57</v>
      </c>
      <c r="C35" s="40"/>
      <c r="D35" s="40"/>
      <c r="E35" s="41">
        <f>SUM(E3:E34)</f>
        <v>472782</v>
      </c>
      <c r="F35" s="41">
        <f>SUM(F3:F34)</f>
        <v>170710</v>
      </c>
      <c r="G35" s="41">
        <f>SUM(G3:G34)</f>
        <v>648492</v>
      </c>
    </row>
  </sheetData>
  <sortState ref="A3:G44">
    <sortCondition descending="1" ref="G3:G44"/>
  </sortState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A45"/>
  <sheetViews>
    <sheetView topLeftCell="I12" workbookViewId="0">
      <selection activeCell="S17" sqref="S17"/>
    </sheetView>
  </sheetViews>
  <sheetFormatPr defaultRowHeight="15" x14ac:dyDescent="0.25"/>
  <cols>
    <col min="1" max="1" width="6.42578125" customWidth="1"/>
    <col min="2" max="2" width="33.28515625" customWidth="1"/>
    <col min="3" max="3" width="4.5703125" customWidth="1"/>
    <col min="4" max="4" width="7.42578125" customWidth="1"/>
    <col min="5" max="5" width="8.7109375" customWidth="1"/>
    <col min="6" max="6" width="7.5703125" customWidth="1"/>
    <col min="8" max="8" width="9.140625" hidden="1" customWidth="1"/>
    <col min="9" max="9" width="8.140625" customWidth="1"/>
    <col min="13" max="13" width="6.5703125" customWidth="1"/>
    <col min="14" max="14" width="6.85546875" customWidth="1"/>
    <col min="15" max="15" width="10" customWidth="1"/>
    <col min="17" max="17" width="11.7109375" customWidth="1"/>
    <col min="18" max="18" width="9.7109375" bestFit="1" customWidth="1"/>
  </cols>
  <sheetData>
    <row r="1" spans="1:27" ht="15.75" x14ac:dyDescent="0.25">
      <c r="A1" s="66" t="s">
        <v>413</v>
      </c>
      <c r="B1" s="66" t="s">
        <v>116</v>
      </c>
      <c r="C1" s="66"/>
      <c r="D1" s="66" t="s">
        <v>284</v>
      </c>
      <c r="E1" s="66" t="s">
        <v>114</v>
      </c>
      <c r="F1" s="66" t="s">
        <v>4</v>
      </c>
      <c r="G1" s="66" t="s">
        <v>113</v>
      </c>
      <c r="I1" s="42"/>
      <c r="J1" s="128" t="s">
        <v>1040</v>
      </c>
      <c r="K1" s="127"/>
      <c r="L1" s="127"/>
      <c r="M1" s="127"/>
      <c r="N1" s="126"/>
      <c r="O1" s="126"/>
      <c r="P1" s="54"/>
      <c r="Q1" s="58"/>
      <c r="R1" s="57"/>
    </row>
    <row r="2" spans="1:27" ht="15.75" x14ac:dyDescent="0.25">
      <c r="A2" s="81">
        <v>2</v>
      </c>
      <c r="B2" s="81" t="s">
        <v>819</v>
      </c>
      <c r="C2" s="83" t="s">
        <v>0</v>
      </c>
      <c r="D2" s="81">
        <v>4408</v>
      </c>
      <c r="E2" s="82">
        <v>30000</v>
      </c>
      <c r="F2" s="82">
        <v>7820</v>
      </c>
      <c r="G2" s="41">
        <f t="shared" ref="G2:G39" si="0">SUM(E2:F2)</f>
        <v>37820</v>
      </c>
      <c r="I2" s="66" t="s">
        <v>413</v>
      </c>
      <c r="J2" s="131" t="s">
        <v>116</v>
      </c>
      <c r="K2" s="130"/>
      <c r="L2" s="130"/>
      <c r="M2" s="132"/>
      <c r="N2" s="132"/>
      <c r="O2" s="118" t="s">
        <v>962</v>
      </c>
      <c r="P2" s="129" t="s">
        <v>114</v>
      </c>
      <c r="Q2" s="133" t="s">
        <v>4</v>
      </c>
      <c r="R2" s="133" t="s">
        <v>113</v>
      </c>
    </row>
    <row r="3" spans="1:27" ht="15.75" x14ac:dyDescent="0.25">
      <c r="A3" s="81">
        <v>5</v>
      </c>
      <c r="B3" s="81" t="s">
        <v>826</v>
      </c>
      <c r="C3" s="83" t="s">
        <v>0</v>
      </c>
      <c r="D3" s="81">
        <v>4427</v>
      </c>
      <c r="E3" s="82">
        <v>21660</v>
      </c>
      <c r="F3" s="82">
        <v>0</v>
      </c>
      <c r="G3" s="41">
        <f t="shared" si="0"/>
        <v>21660</v>
      </c>
      <c r="I3" s="136">
        <v>1</v>
      </c>
      <c r="J3" s="138" t="s">
        <v>963</v>
      </c>
      <c r="K3" s="120"/>
      <c r="L3" s="120"/>
      <c r="M3" s="120"/>
      <c r="N3" s="81" t="s">
        <v>0</v>
      </c>
      <c r="O3" s="81">
        <v>4450</v>
      </c>
      <c r="P3" s="145">
        <v>40500</v>
      </c>
      <c r="Q3" s="105">
        <v>28230</v>
      </c>
      <c r="R3" s="145">
        <f t="shared" ref="R3:R16" si="1">SUM(P3:Q3)</f>
        <v>68730</v>
      </c>
      <c r="S3" s="26"/>
    </row>
    <row r="4" spans="1:27" ht="15.75" x14ac:dyDescent="0.25">
      <c r="A4" s="81">
        <v>9</v>
      </c>
      <c r="B4" s="81" t="s">
        <v>877</v>
      </c>
      <c r="C4" s="83"/>
      <c r="D4" s="81">
        <v>4477</v>
      </c>
      <c r="E4" s="82">
        <v>9000</v>
      </c>
      <c r="F4" s="82">
        <v>5700</v>
      </c>
      <c r="G4" s="41">
        <f t="shared" si="0"/>
        <v>14700</v>
      </c>
      <c r="I4" s="81">
        <v>2</v>
      </c>
      <c r="J4" s="144" t="s">
        <v>826</v>
      </c>
      <c r="K4" s="85"/>
      <c r="L4" s="85"/>
      <c r="M4" s="86"/>
      <c r="N4" s="81" t="s">
        <v>0</v>
      </c>
      <c r="O4" s="81">
        <v>4427</v>
      </c>
      <c r="P4" s="145">
        <v>40500</v>
      </c>
      <c r="Q4" s="82">
        <v>15290</v>
      </c>
      <c r="R4" s="109">
        <f t="shared" si="1"/>
        <v>55790</v>
      </c>
    </row>
    <row r="5" spans="1:27" ht="15.75" x14ac:dyDescent="0.25">
      <c r="A5" s="81">
        <v>17</v>
      </c>
      <c r="B5" s="81" t="s">
        <v>853</v>
      </c>
      <c r="C5" s="83"/>
      <c r="D5" s="81">
        <v>4457</v>
      </c>
      <c r="E5" s="82">
        <v>8000</v>
      </c>
      <c r="F5" s="82">
        <v>0</v>
      </c>
      <c r="G5" s="82">
        <f t="shared" si="0"/>
        <v>8000</v>
      </c>
      <c r="I5" s="81">
        <v>3</v>
      </c>
      <c r="J5" s="85" t="s">
        <v>863</v>
      </c>
      <c r="K5" s="85"/>
      <c r="L5" s="85"/>
      <c r="M5" s="86"/>
      <c r="N5" s="81"/>
      <c r="O5" s="81">
        <v>4469</v>
      </c>
      <c r="P5" s="135">
        <v>11000</v>
      </c>
      <c r="Q5" s="82">
        <v>12940</v>
      </c>
      <c r="R5" s="145">
        <f t="shared" si="1"/>
        <v>23940</v>
      </c>
    </row>
    <row r="6" spans="1:27" x14ac:dyDescent="0.25">
      <c r="A6" s="81">
        <v>6</v>
      </c>
      <c r="B6" s="81" t="s">
        <v>852</v>
      </c>
      <c r="C6" s="83" t="s">
        <v>0</v>
      </c>
      <c r="D6" s="81">
        <v>4456</v>
      </c>
      <c r="E6" s="82">
        <v>7600</v>
      </c>
      <c r="F6" s="82">
        <v>0</v>
      </c>
      <c r="G6" s="82">
        <f t="shared" si="0"/>
        <v>7600</v>
      </c>
      <c r="I6" s="136">
        <v>4</v>
      </c>
      <c r="J6" s="138" t="s">
        <v>896</v>
      </c>
      <c r="K6" s="120"/>
      <c r="L6" s="120"/>
      <c r="M6" s="120"/>
      <c r="N6" s="81" t="s">
        <v>0</v>
      </c>
      <c r="O6" s="81">
        <v>4500</v>
      </c>
      <c r="P6" s="135">
        <v>40500</v>
      </c>
      <c r="Q6" s="82">
        <v>10080</v>
      </c>
      <c r="R6" s="135">
        <f t="shared" si="1"/>
        <v>50580</v>
      </c>
    </row>
    <row r="7" spans="1:27" ht="15.75" x14ac:dyDescent="0.25">
      <c r="A7" s="81">
        <v>20</v>
      </c>
      <c r="B7" s="81" t="s">
        <v>857</v>
      </c>
      <c r="C7" s="83"/>
      <c r="D7" s="81">
        <v>4467</v>
      </c>
      <c r="E7" s="82">
        <v>7500</v>
      </c>
      <c r="F7" s="82">
        <v>0</v>
      </c>
      <c r="G7" s="41">
        <f t="shared" si="0"/>
        <v>7500</v>
      </c>
      <c r="I7" s="81">
        <v>5</v>
      </c>
      <c r="J7" s="144" t="s">
        <v>965</v>
      </c>
      <c r="K7" s="85"/>
      <c r="L7" s="85"/>
      <c r="M7" s="86"/>
      <c r="N7" s="81"/>
      <c r="O7" s="81">
        <v>4457</v>
      </c>
      <c r="P7" s="135">
        <v>11000</v>
      </c>
      <c r="Q7" s="81">
        <v>8000</v>
      </c>
      <c r="R7" s="109">
        <f t="shared" si="1"/>
        <v>19000</v>
      </c>
    </row>
    <row r="8" spans="1:27" ht="15.75" x14ac:dyDescent="0.25">
      <c r="A8" s="81">
        <v>16</v>
      </c>
      <c r="B8" s="81" t="s">
        <v>845</v>
      </c>
      <c r="C8" s="83" t="s">
        <v>0</v>
      </c>
      <c r="D8" s="81">
        <v>4416</v>
      </c>
      <c r="E8" s="82">
        <v>5850</v>
      </c>
      <c r="F8" s="82">
        <v>0</v>
      </c>
      <c r="G8" s="82">
        <f t="shared" si="0"/>
        <v>5850</v>
      </c>
      <c r="I8" s="136">
        <v>6</v>
      </c>
      <c r="J8" s="112" t="s">
        <v>964</v>
      </c>
      <c r="K8" s="120"/>
      <c r="L8" s="120"/>
      <c r="M8" s="120"/>
      <c r="N8" s="81" t="s">
        <v>0</v>
      </c>
      <c r="O8" s="81">
        <v>4456</v>
      </c>
      <c r="P8" s="135">
        <v>40500</v>
      </c>
      <c r="Q8" s="81">
        <v>7600</v>
      </c>
      <c r="R8" s="109">
        <f t="shared" si="1"/>
        <v>48100</v>
      </c>
      <c r="AA8" s="14"/>
    </row>
    <row r="9" spans="1:27" ht="15.75" x14ac:dyDescent="0.25">
      <c r="A9" s="81">
        <v>19</v>
      </c>
      <c r="B9" s="81" t="s">
        <v>887</v>
      </c>
      <c r="C9" s="83"/>
      <c r="D9" s="81">
        <v>4493</v>
      </c>
      <c r="E9" s="82">
        <v>4400</v>
      </c>
      <c r="F9" s="82">
        <v>0</v>
      </c>
      <c r="G9" s="82">
        <f t="shared" si="0"/>
        <v>4400</v>
      </c>
      <c r="I9" s="81">
        <v>7</v>
      </c>
      <c r="J9" s="85" t="s">
        <v>857</v>
      </c>
      <c r="K9" s="85"/>
      <c r="L9" s="85"/>
      <c r="M9" s="86"/>
      <c r="N9" s="81"/>
      <c r="O9" s="81">
        <v>4467</v>
      </c>
      <c r="P9" s="135">
        <v>11000</v>
      </c>
      <c r="Q9" s="81">
        <v>1500</v>
      </c>
      <c r="R9" s="109">
        <f t="shared" si="1"/>
        <v>12500</v>
      </c>
    </row>
    <row r="10" spans="1:27" ht="15.75" x14ac:dyDescent="0.25">
      <c r="A10" s="81">
        <v>18</v>
      </c>
      <c r="B10" s="81" t="s">
        <v>890</v>
      </c>
      <c r="C10" s="83" t="s">
        <v>0</v>
      </c>
      <c r="D10" s="81">
        <v>4424</v>
      </c>
      <c r="E10" s="82">
        <v>4100</v>
      </c>
      <c r="F10" s="82">
        <v>0</v>
      </c>
      <c r="G10" s="41">
        <f t="shared" si="0"/>
        <v>4100</v>
      </c>
      <c r="I10" s="136">
        <v>8</v>
      </c>
      <c r="J10" s="112" t="s">
        <v>966</v>
      </c>
      <c r="K10" s="120"/>
      <c r="L10" s="120"/>
      <c r="M10" s="120"/>
      <c r="N10" s="81"/>
      <c r="O10" s="81">
        <v>4493</v>
      </c>
      <c r="P10" s="135">
        <v>11000</v>
      </c>
      <c r="Q10" s="81">
        <v>4400</v>
      </c>
      <c r="R10" s="145">
        <f t="shared" si="1"/>
        <v>15400</v>
      </c>
      <c r="S10" s="26"/>
    </row>
    <row r="11" spans="1:27" ht="15.75" x14ac:dyDescent="0.25">
      <c r="A11" s="81">
        <v>27</v>
      </c>
      <c r="B11" s="81" t="s">
        <v>828</v>
      </c>
      <c r="C11" s="83"/>
      <c r="D11" s="81">
        <v>4432</v>
      </c>
      <c r="E11" s="82">
        <v>3300</v>
      </c>
      <c r="F11" s="82">
        <v>0</v>
      </c>
      <c r="G11" s="41">
        <f t="shared" si="0"/>
        <v>3300</v>
      </c>
      <c r="I11" s="81">
        <v>9</v>
      </c>
      <c r="J11" s="144" t="s">
        <v>828</v>
      </c>
      <c r="K11" s="85"/>
      <c r="L11" s="85"/>
      <c r="M11" s="86"/>
      <c r="N11" s="81"/>
      <c r="O11" s="81">
        <v>4432</v>
      </c>
      <c r="P11" s="135">
        <v>7300</v>
      </c>
      <c r="Q11" s="81">
        <v>0</v>
      </c>
      <c r="R11" s="109">
        <f t="shared" si="1"/>
        <v>7300</v>
      </c>
    </row>
    <row r="12" spans="1:27" ht="15.75" x14ac:dyDescent="0.25">
      <c r="A12" s="81">
        <v>12</v>
      </c>
      <c r="B12" s="81" t="s">
        <v>848</v>
      </c>
      <c r="C12" s="83"/>
      <c r="D12" s="81">
        <v>4452</v>
      </c>
      <c r="E12" s="82">
        <v>3000</v>
      </c>
      <c r="F12" s="82">
        <v>0</v>
      </c>
      <c r="G12" s="82">
        <f t="shared" si="0"/>
        <v>3000</v>
      </c>
      <c r="I12" s="136">
        <v>10</v>
      </c>
      <c r="J12" s="112" t="s">
        <v>848</v>
      </c>
      <c r="K12" s="120"/>
      <c r="L12" s="120"/>
      <c r="M12" s="120"/>
      <c r="N12" s="81"/>
      <c r="O12" s="81">
        <v>4452</v>
      </c>
      <c r="P12" s="135">
        <v>11000</v>
      </c>
      <c r="Q12" s="81">
        <v>1250</v>
      </c>
      <c r="R12" s="109">
        <f t="shared" si="1"/>
        <v>12250</v>
      </c>
    </row>
    <row r="13" spans="1:27" ht="15.75" x14ac:dyDescent="0.25">
      <c r="A13" s="81">
        <v>30</v>
      </c>
      <c r="B13" s="81" t="s">
        <v>875</v>
      </c>
      <c r="C13" s="83"/>
      <c r="D13" s="81">
        <v>4488</v>
      </c>
      <c r="E13" s="82">
        <v>2570</v>
      </c>
      <c r="F13" s="82">
        <v>0</v>
      </c>
      <c r="G13" s="41">
        <f t="shared" si="0"/>
        <v>2570</v>
      </c>
      <c r="I13" s="81">
        <v>11</v>
      </c>
      <c r="J13" s="85" t="s">
        <v>875</v>
      </c>
      <c r="K13" s="85"/>
      <c r="L13" s="85"/>
      <c r="M13" s="86"/>
      <c r="N13" s="81"/>
      <c r="O13" s="81">
        <v>4488</v>
      </c>
      <c r="P13" s="135">
        <v>4220</v>
      </c>
      <c r="Q13" s="81">
        <v>0</v>
      </c>
      <c r="R13" s="109">
        <f t="shared" si="1"/>
        <v>4220</v>
      </c>
    </row>
    <row r="14" spans="1:27" ht="15.75" x14ac:dyDescent="0.25">
      <c r="A14" s="81">
        <v>31</v>
      </c>
      <c r="B14" s="81" t="s">
        <v>840</v>
      </c>
      <c r="C14" s="83"/>
      <c r="D14" s="81">
        <v>4442</v>
      </c>
      <c r="E14" s="82">
        <v>2500</v>
      </c>
      <c r="F14" s="82">
        <v>0</v>
      </c>
      <c r="G14" s="82">
        <f t="shared" si="0"/>
        <v>2500</v>
      </c>
      <c r="I14" s="136">
        <v>12</v>
      </c>
      <c r="J14" s="138" t="s">
        <v>840</v>
      </c>
      <c r="K14" s="120"/>
      <c r="L14" s="120"/>
      <c r="M14" s="120"/>
      <c r="N14" s="81"/>
      <c r="O14" s="81">
        <v>4442</v>
      </c>
      <c r="P14" s="135">
        <v>11000</v>
      </c>
      <c r="Q14" s="81">
        <v>2500</v>
      </c>
      <c r="R14" s="109">
        <f t="shared" si="1"/>
        <v>13500</v>
      </c>
    </row>
    <row r="15" spans="1:27" ht="15.75" x14ac:dyDescent="0.25">
      <c r="A15" s="81">
        <v>22</v>
      </c>
      <c r="B15" s="81" t="s">
        <v>855</v>
      </c>
      <c r="C15" s="83"/>
      <c r="D15" s="81">
        <v>4460</v>
      </c>
      <c r="E15" s="82">
        <v>2400</v>
      </c>
      <c r="F15" s="82">
        <v>0</v>
      </c>
      <c r="G15" s="82">
        <f t="shared" si="0"/>
        <v>2400</v>
      </c>
      <c r="I15" s="81">
        <v>13</v>
      </c>
      <c r="J15" s="85" t="s">
        <v>855</v>
      </c>
      <c r="K15" s="85"/>
      <c r="L15" s="85"/>
      <c r="M15" s="86"/>
      <c r="N15" s="81"/>
      <c r="O15" s="81">
        <v>4460</v>
      </c>
      <c r="P15" s="135">
        <v>9190</v>
      </c>
      <c r="Q15" s="81">
        <v>0</v>
      </c>
      <c r="R15" s="109">
        <f t="shared" si="1"/>
        <v>9190</v>
      </c>
    </row>
    <row r="16" spans="1:27" ht="15.75" x14ac:dyDescent="0.25">
      <c r="A16" s="81">
        <v>23</v>
      </c>
      <c r="B16" s="81" t="s">
        <v>820</v>
      </c>
      <c r="C16" s="83" t="s">
        <v>0</v>
      </c>
      <c r="D16" s="81">
        <v>4418</v>
      </c>
      <c r="E16" s="82">
        <v>2220</v>
      </c>
      <c r="F16" s="82">
        <v>0</v>
      </c>
      <c r="G16" s="82">
        <f t="shared" si="0"/>
        <v>2220</v>
      </c>
      <c r="I16" s="136">
        <v>14</v>
      </c>
      <c r="J16" s="112" t="s">
        <v>820</v>
      </c>
      <c r="K16" s="120"/>
      <c r="L16" s="120"/>
      <c r="M16" s="120"/>
      <c r="N16" s="81" t="s">
        <v>0</v>
      </c>
      <c r="O16" s="81">
        <v>4418</v>
      </c>
      <c r="P16" s="135">
        <v>38820</v>
      </c>
      <c r="Q16" s="82">
        <v>0</v>
      </c>
      <c r="R16" s="145">
        <f t="shared" si="1"/>
        <v>38820</v>
      </c>
    </row>
    <row r="17" spans="1:27" ht="15.75" x14ac:dyDescent="0.25">
      <c r="A17" s="81">
        <v>32</v>
      </c>
      <c r="B17" s="81" t="s">
        <v>866</v>
      </c>
      <c r="C17" s="83"/>
      <c r="D17" s="81">
        <v>4484</v>
      </c>
      <c r="E17" s="82">
        <v>2000</v>
      </c>
      <c r="F17" s="82">
        <v>0</v>
      </c>
      <c r="G17" s="41">
        <f t="shared" si="0"/>
        <v>2000</v>
      </c>
      <c r="I17" s="81">
        <v>15</v>
      </c>
      <c r="J17" s="85" t="s">
        <v>866</v>
      </c>
      <c r="K17" s="85"/>
      <c r="L17" s="85"/>
      <c r="M17" s="86"/>
      <c r="N17" s="81"/>
      <c r="O17" s="81">
        <v>4484</v>
      </c>
      <c r="P17" s="135">
        <v>8000</v>
      </c>
      <c r="Q17" s="81" t="s">
        <v>2</v>
      </c>
      <c r="R17" s="109">
        <v>8000</v>
      </c>
    </row>
    <row r="18" spans="1:27" ht="15.75" x14ac:dyDescent="0.25">
      <c r="A18" s="81">
        <v>25</v>
      </c>
      <c r="B18" s="81" t="s">
        <v>827</v>
      </c>
      <c r="C18" s="83"/>
      <c r="D18" s="81">
        <v>4430</v>
      </c>
      <c r="E18" s="82">
        <v>1600</v>
      </c>
      <c r="F18" s="82">
        <v>0</v>
      </c>
      <c r="G18" s="41">
        <f t="shared" si="0"/>
        <v>1600</v>
      </c>
      <c r="I18" s="136">
        <v>16</v>
      </c>
      <c r="J18" s="112" t="s">
        <v>961</v>
      </c>
      <c r="K18" s="120"/>
      <c r="L18" s="120"/>
      <c r="M18" s="120"/>
      <c r="N18" s="81"/>
      <c r="O18" s="81">
        <v>4509</v>
      </c>
      <c r="P18" s="135">
        <v>7600</v>
      </c>
      <c r="Q18" s="81">
        <v>0</v>
      </c>
      <c r="R18" s="145">
        <f t="shared" ref="R18:R44" si="2">SUM(P18:Q18)</f>
        <v>7600</v>
      </c>
    </row>
    <row r="19" spans="1:27" ht="15.75" x14ac:dyDescent="0.25">
      <c r="A19" s="81">
        <v>24</v>
      </c>
      <c r="B19" s="81" t="s">
        <v>869</v>
      </c>
      <c r="C19" s="83"/>
      <c r="D19" s="81">
        <v>4462</v>
      </c>
      <c r="E19" s="82">
        <v>1600</v>
      </c>
      <c r="F19" s="82">
        <v>0</v>
      </c>
      <c r="G19" s="82">
        <f t="shared" si="0"/>
        <v>1600</v>
      </c>
      <c r="I19" s="81">
        <v>17</v>
      </c>
      <c r="J19" s="144" t="s">
        <v>845</v>
      </c>
      <c r="K19" s="85"/>
      <c r="L19" s="85"/>
      <c r="M19" s="86"/>
      <c r="N19" s="81" t="s">
        <v>0</v>
      </c>
      <c r="O19" s="81">
        <v>4416</v>
      </c>
      <c r="P19" s="145">
        <v>30870</v>
      </c>
      <c r="Q19" s="105">
        <v>0</v>
      </c>
      <c r="R19" s="109">
        <f t="shared" si="2"/>
        <v>30870</v>
      </c>
    </row>
    <row r="20" spans="1:27" ht="15.75" x14ac:dyDescent="0.25">
      <c r="A20" s="81">
        <v>44</v>
      </c>
      <c r="B20" s="81" t="s">
        <v>961</v>
      </c>
      <c r="C20" s="83"/>
      <c r="D20" s="81">
        <v>4509</v>
      </c>
      <c r="E20" s="82">
        <v>1600</v>
      </c>
      <c r="F20" s="82">
        <v>0</v>
      </c>
      <c r="G20" s="82">
        <f t="shared" si="0"/>
        <v>1600</v>
      </c>
      <c r="I20" s="139">
        <v>18</v>
      </c>
      <c r="J20" s="146" t="s">
        <v>827</v>
      </c>
      <c r="K20" s="140"/>
      <c r="L20" s="140"/>
      <c r="M20" s="139"/>
      <c r="N20" s="81"/>
      <c r="O20" s="81">
        <v>4430</v>
      </c>
      <c r="P20" s="145">
        <v>6600</v>
      </c>
      <c r="Q20" s="105">
        <v>0</v>
      </c>
      <c r="R20" s="109">
        <f t="shared" si="2"/>
        <v>6600</v>
      </c>
    </row>
    <row r="21" spans="1:27" ht="15.75" x14ac:dyDescent="0.25">
      <c r="A21" s="81">
        <v>26</v>
      </c>
      <c r="B21" s="81" t="s">
        <v>835</v>
      </c>
      <c r="C21" s="83"/>
      <c r="D21" s="81">
        <v>4438</v>
      </c>
      <c r="E21" s="82">
        <v>600</v>
      </c>
      <c r="F21" s="81">
        <v>0</v>
      </c>
      <c r="G21" s="41">
        <f t="shared" si="0"/>
        <v>600</v>
      </c>
      <c r="I21" s="81">
        <v>19</v>
      </c>
      <c r="J21" s="85" t="s">
        <v>835</v>
      </c>
      <c r="K21" s="85"/>
      <c r="L21" s="85"/>
      <c r="M21" s="86"/>
      <c r="N21" s="81"/>
      <c r="O21" s="81">
        <v>4438</v>
      </c>
      <c r="P21" s="135">
        <v>11000</v>
      </c>
      <c r="Q21" s="81">
        <v>600</v>
      </c>
      <c r="R21" s="109">
        <f t="shared" si="2"/>
        <v>11600</v>
      </c>
    </row>
    <row r="22" spans="1:27" ht="15.75" x14ac:dyDescent="0.25">
      <c r="A22" s="81">
        <v>15</v>
      </c>
      <c r="B22" s="81" t="s">
        <v>814</v>
      </c>
      <c r="C22" s="83" t="s">
        <v>0</v>
      </c>
      <c r="D22" s="81">
        <v>4406</v>
      </c>
      <c r="E22" s="82">
        <v>320</v>
      </c>
      <c r="F22" s="82">
        <v>0</v>
      </c>
      <c r="G22" s="82">
        <f t="shared" si="0"/>
        <v>320</v>
      </c>
      <c r="I22" s="136">
        <v>20</v>
      </c>
      <c r="J22" s="138" t="s">
        <v>814</v>
      </c>
      <c r="K22" s="120"/>
      <c r="L22" s="120"/>
      <c r="M22" s="120"/>
      <c r="N22" s="81" t="s">
        <v>0</v>
      </c>
      <c r="O22" s="81">
        <v>4406</v>
      </c>
      <c r="P22" s="135">
        <v>28990</v>
      </c>
      <c r="Q22" s="81">
        <v>0</v>
      </c>
      <c r="R22" s="109">
        <f>SUM(P22:Q22)</f>
        <v>28990</v>
      </c>
    </row>
    <row r="23" spans="1:27" ht="15.75" x14ac:dyDescent="0.25">
      <c r="A23" s="81">
        <v>35</v>
      </c>
      <c r="B23" s="81" t="s">
        <v>809</v>
      </c>
      <c r="C23" s="83"/>
      <c r="D23" s="81">
        <v>4400</v>
      </c>
      <c r="E23" s="82">
        <v>200</v>
      </c>
      <c r="F23" s="82">
        <v>0</v>
      </c>
      <c r="G23" s="82">
        <f t="shared" si="0"/>
        <v>200</v>
      </c>
      <c r="I23" s="81">
        <v>21</v>
      </c>
      <c r="J23" s="85" t="s">
        <v>809</v>
      </c>
      <c r="K23" s="85"/>
      <c r="L23" s="85"/>
      <c r="M23" s="86"/>
      <c r="N23" s="81"/>
      <c r="O23" s="81">
        <v>4400</v>
      </c>
      <c r="P23" s="135">
        <v>5950</v>
      </c>
      <c r="Q23" s="81">
        <v>0</v>
      </c>
      <c r="R23" s="109">
        <f>SUM(P23:Q23)</f>
        <v>5950</v>
      </c>
    </row>
    <row r="24" spans="1:27" ht="15.75" x14ac:dyDescent="0.25">
      <c r="A24" s="81"/>
      <c r="B24" s="81"/>
      <c r="C24" s="83"/>
      <c r="D24" s="81"/>
      <c r="E24" s="82"/>
      <c r="F24" s="82"/>
      <c r="G24" s="82"/>
      <c r="I24" s="81">
        <v>22</v>
      </c>
      <c r="J24" s="85" t="s">
        <v>869</v>
      </c>
      <c r="K24" s="85"/>
      <c r="L24" s="85"/>
      <c r="M24" s="86"/>
      <c r="N24" s="81"/>
      <c r="O24" s="81">
        <v>4470</v>
      </c>
      <c r="P24" s="135">
        <v>7900</v>
      </c>
      <c r="Q24" s="81">
        <v>0</v>
      </c>
      <c r="R24" s="109">
        <f t="shared" si="2"/>
        <v>7900</v>
      </c>
      <c r="S24" s="26"/>
    </row>
    <row r="25" spans="1:27" ht="15.75" x14ac:dyDescent="0.25">
      <c r="A25" s="81">
        <v>28</v>
      </c>
      <c r="B25" s="81" t="s">
        <v>889</v>
      </c>
      <c r="C25" s="83"/>
      <c r="D25" s="81">
        <v>4498</v>
      </c>
      <c r="E25" s="82">
        <v>0</v>
      </c>
      <c r="F25" s="82">
        <v>0</v>
      </c>
      <c r="G25" s="82">
        <f t="shared" si="0"/>
        <v>0</v>
      </c>
      <c r="I25" s="136">
        <v>23</v>
      </c>
      <c r="J25" s="138" t="s">
        <v>967</v>
      </c>
      <c r="K25" s="120"/>
      <c r="L25" s="120"/>
      <c r="M25" s="120"/>
      <c r="N25" s="81" t="s">
        <v>0</v>
      </c>
      <c r="O25" s="81">
        <v>4424</v>
      </c>
      <c r="P25" s="135">
        <v>35500</v>
      </c>
      <c r="Q25" s="81">
        <v>0</v>
      </c>
      <c r="R25" s="109">
        <f t="shared" si="2"/>
        <v>35500</v>
      </c>
    </row>
    <row r="26" spans="1:27" x14ac:dyDescent="0.25">
      <c r="A26" s="81">
        <v>34</v>
      </c>
      <c r="B26" s="81" t="s">
        <v>830</v>
      </c>
      <c r="C26" s="83"/>
      <c r="D26" s="81">
        <v>4434</v>
      </c>
      <c r="E26" s="82">
        <v>0</v>
      </c>
      <c r="F26" s="81">
        <v>0</v>
      </c>
      <c r="G26" s="82">
        <f t="shared" si="0"/>
        <v>0</v>
      </c>
      <c r="I26" s="81">
        <v>24</v>
      </c>
      <c r="J26" s="144" t="s">
        <v>889</v>
      </c>
      <c r="K26" s="85"/>
      <c r="L26" s="85"/>
      <c r="M26" s="86"/>
      <c r="N26" s="81"/>
      <c r="O26" s="81">
        <v>4498</v>
      </c>
      <c r="P26" s="135">
        <v>7000</v>
      </c>
      <c r="Q26" s="81">
        <v>0</v>
      </c>
      <c r="R26" s="82">
        <f t="shared" si="2"/>
        <v>7000</v>
      </c>
    </row>
    <row r="27" spans="1:27" x14ac:dyDescent="0.25">
      <c r="A27" s="81">
        <v>21</v>
      </c>
      <c r="B27" s="81" t="s">
        <v>838</v>
      </c>
      <c r="C27" s="83" t="s">
        <v>0</v>
      </c>
      <c r="D27" s="81">
        <v>4440</v>
      </c>
      <c r="E27" s="82">
        <v>0</v>
      </c>
      <c r="F27" s="81">
        <v>0</v>
      </c>
      <c r="G27" s="41">
        <f t="shared" si="0"/>
        <v>0</v>
      </c>
      <c r="I27" s="139">
        <v>25</v>
      </c>
      <c r="J27" s="140" t="s">
        <v>830</v>
      </c>
      <c r="K27" s="140"/>
      <c r="L27" s="140"/>
      <c r="M27" s="139"/>
      <c r="N27" s="81"/>
      <c r="O27" s="81">
        <v>4434</v>
      </c>
      <c r="P27" s="135">
        <v>10600</v>
      </c>
      <c r="Q27" s="81">
        <v>0</v>
      </c>
      <c r="R27" s="135">
        <f>SUM(P27:Q27)</f>
        <v>10600</v>
      </c>
    </row>
    <row r="28" spans="1:27" x14ac:dyDescent="0.25">
      <c r="A28" s="81">
        <v>14</v>
      </c>
      <c r="B28" s="81" t="s">
        <v>885</v>
      </c>
      <c r="C28" s="83" t="s">
        <v>0</v>
      </c>
      <c r="D28" s="81">
        <v>4470</v>
      </c>
      <c r="E28" s="82">
        <v>0</v>
      </c>
      <c r="F28" s="82">
        <v>0</v>
      </c>
      <c r="G28" s="82">
        <f t="shared" si="0"/>
        <v>0</v>
      </c>
      <c r="I28" s="136">
        <v>26</v>
      </c>
      <c r="J28" s="138" t="s">
        <v>968</v>
      </c>
      <c r="K28" s="120"/>
      <c r="L28" s="120"/>
      <c r="M28" s="120"/>
      <c r="N28" s="81" t="s">
        <v>0</v>
      </c>
      <c r="O28" s="81">
        <v>4440</v>
      </c>
      <c r="P28" s="86">
        <v>25500</v>
      </c>
      <c r="Q28" s="81">
        <v>0</v>
      </c>
      <c r="R28" s="86">
        <f t="shared" si="2"/>
        <v>25500</v>
      </c>
    </row>
    <row r="29" spans="1:27" x14ac:dyDescent="0.25">
      <c r="A29" s="81">
        <v>29</v>
      </c>
      <c r="B29" s="81" t="s">
        <v>854</v>
      </c>
      <c r="C29" s="83"/>
      <c r="D29" s="81">
        <v>4458</v>
      </c>
      <c r="E29" s="82">
        <v>0</v>
      </c>
      <c r="F29" s="82">
        <v>0</v>
      </c>
      <c r="G29" s="82">
        <f t="shared" si="0"/>
        <v>0</v>
      </c>
      <c r="I29" s="81">
        <v>27</v>
      </c>
      <c r="J29" s="85" t="s">
        <v>885</v>
      </c>
      <c r="K29" s="85"/>
      <c r="L29" s="85"/>
      <c r="M29" s="86"/>
      <c r="N29" s="81" t="s">
        <v>0</v>
      </c>
      <c r="O29" s="81">
        <v>4470</v>
      </c>
      <c r="P29" s="86">
        <v>10500</v>
      </c>
      <c r="Q29" s="81">
        <v>0</v>
      </c>
      <c r="R29" s="86">
        <f t="shared" si="2"/>
        <v>10500</v>
      </c>
    </row>
    <row r="30" spans="1:27" x14ac:dyDescent="0.25">
      <c r="A30" s="81">
        <v>33</v>
      </c>
      <c r="B30" s="81" t="s">
        <v>813</v>
      </c>
      <c r="C30" s="83"/>
      <c r="D30" s="81">
        <v>4404</v>
      </c>
      <c r="E30" s="82">
        <v>0</v>
      </c>
      <c r="F30" s="82">
        <v>0</v>
      </c>
      <c r="G30" s="82">
        <f t="shared" si="0"/>
        <v>0</v>
      </c>
      <c r="I30" s="137">
        <v>28</v>
      </c>
      <c r="J30" s="140" t="s">
        <v>854</v>
      </c>
      <c r="K30" s="140"/>
      <c r="L30" s="140"/>
      <c r="M30" s="139"/>
      <c r="N30" s="81"/>
      <c r="O30" s="81">
        <v>4474</v>
      </c>
      <c r="P30" s="135">
        <v>3000</v>
      </c>
      <c r="Q30" s="81">
        <v>0</v>
      </c>
      <c r="R30" s="86">
        <f t="shared" si="2"/>
        <v>3000</v>
      </c>
    </row>
    <row r="31" spans="1:27" ht="15.75" x14ac:dyDescent="0.25">
      <c r="A31" s="81">
        <v>13</v>
      </c>
      <c r="B31" s="81" t="s">
        <v>872</v>
      </c>
      <c r="C31" s="83"/>
      <c r="D31" s="81">
        <v>4474</v>
      </c>
      <c r="E31" s="82">
        <v>0</v>
      </c>
      <c r="F31" s="82">
        <v>0</v>
      </c>
      <c r="G31" s="41">
        <f t="shared" si="0"/>
        <v>0</v>
      </c>
      <c r="I31" s="136">
        <v>29</v>
      </c>
      <c r="J31" s="138" t="s">
        <v>813</v>
      </c>
      <c r="K31" s="120"/>
      <c r="L31" s="120"/>
      <c r="M31" s="120"/>
      <c r="N31" s="81"/>
      <c r="O31" s="81">
        <v>4404</v>
      </c>
      <c r="P31" s="135">
        <v>3270</v>
      </c>
      <c r="Q31" s="81">
        <v>0</v>
      </c>
      <c r="R31" s="109">
        <f>SUM(P31:Q31)</f>
        <v>3270</v>
      </c>
      <c r="AA31" s="120"/>
    </row>
    <row r="32" spans="1:27" ht="15.75" x14ac:dyDescent="0.25">
      <c r="A32" s="81">
        <v>36</v>
      </c>
      <c r="B32" s="81" t="s">
        <v>811</v>
      </c>
      <c r="C32" s="83" t="s">
        <v>0</v>
      </c>
      <c r="D32" s="81">
        <v>4402</v>
      </c>
      <c r="E32" s="82">
        <v>0</v>
      </c>
      <c r="F32" s="82">
        <v>0</v>
      </c>
      <c r="G32" s="41">
        <f t="shared" si="0"/>
        <v>0</v>
      </c>
      <c r="I32" s="81">
        <v>29</v>
      </c>
      <c r="J32" s="85" t="s">
        <v>872</v>
      </c>
      <c r="K32" s="85"/>
      <c r="L32" s="85"/>
      <c r="M32" s="86"/>
      <c r="N32" s="81"/>
      <c r="O32" s="81">
        <v>4474</v>
      </c>
      <c r="P32" s="135">
        <v>11000</v>
      </c>
      <c r="Q32" s="81">
        <v>0</v>
      </c>
      <c r="R32" s="109">
        <f t="shared" si="2"/>
        <v>11000</v>
      </c>
    </row>
    <row r="33" spans="1:18" ht="15.75" x14ac:dyDescent="0.25">
      <c r="A33" s="81">
        <v>37</v>
      </c>
      <c r="B33" s="81" t="s">
        <v>861</v>
      </c>
      <c r="C33" s="83"/>
      <c r="D33" s="81">
        <v>4462</v>
      </c>
      <c r="E33" s="82">
        <v>0</v>
      </c>
      <c r="F33" s="82">
        <v>0</v>
      </c>
      <c r="G33" s="82">
        <f t="shared" si="0"/>
        <v>0</v>
      </c>
      <c r="I33" s="136">
        <v>30</v>
      </c>
      <c r="J33" s="138" t="s">
        <v>969</v>
      </c>
      <c r="K33" s="120"/>
      <c r="L33" s="120"/>
      <c r="M33" s="120"/>
      <c r="N33" s="81" t="s">
        <v>0</v>
      </c>
      <c r="O33" s="81">
        <v>4402</v>
      </c>
      <c r="P33" s="135">
        <v>26540</v>
      </c>
      <c r="Q33" s="81">
        <v>0</v>
      </c>
      <c r="R33" s="109">
        <f>SUM(P33:Q33)</f>
        <v>26540</v>
      </c>
    </row>
    <row r="34" spans="1:18" ht="15.75" x14ac:dyDescent="0.25">
      <c r="A34" s="81">
        <v>38</v>
      </c>
      <c r="B34" s="81" t="s">
        <v>824</v>
      </c>
      <c r="C34" s="83"/>
      <c r="D34" s="81">
        <v>4425</v>
      </c>
      <c r="E34" s="82">
        <v>0</v>
      </c>
      <c r="F34" s="81">
        <v>0</v>
      </c>
      <c r="G34" s="82">
        <f t="shared" si="0"/>
        <v>0</v>
      </c>
      <c r="I34" s="81">
        <v>31</v>
      </c>
      <c r="J34" s="85" t="s">
        <v>861</v>
      </c>
      <c r="K34" s="85"/>
      <c r="L34" s="85"/>
      <c r="M34" s="86"/>
      <c r="N34" s="81"/>
      <c r="O34" s="81">
        <v>4462</v>
      </c>
      <c r="P34" s="135">
        <v>0</v>
      </c>
      <c r="Q34" s="81">
        <v>0</v>
      </c>
      <c r="R34" s="109">
        <f>SUM(P34:Q34)</f>
        <v>0</v>
      </c>
    </row>
    <row r="35" spans="1:18" ht="15.75" x14ac:dyDescent="0.25">
      <c r="A35" s="81">
        <v>39</v>
      </c>
      <c r="B35" s="81" t="s">
        <v>831</v>
      </c>
      <c r="C35" s="83"/>
      <c r="D35" s="81">
        <v>4436</v>
      </c>
      <c r="E35" s="82">
        <v>0</v>
      </c>
      <c r="F35" s="82">
        <v>0</v>
      </c>
      <c r="G35" s="41">
        <f t="shared" si="0"/>
        <v>0</v>
      </c>
      <c r="I35" s="136">
        <v>32</v>
      </c>
      <c r="J35" s="138" t="s">
        <v>824</v>
      </c>
      <c r="K35" s="120"/>
      <c r="L35" s="120"/>
      <c r="M35" s="120"/>
      <c r="N35" s="81"/>
      <c r="O35" s="81">
        <v>4425</v>
      </c>
      <c r="P35" s="135">
        <v>6960</v>
      </c>
      <c r="Q35" s="81">
        <v>0</v>
      </c>
      <c r="R35" s="109">
        <f>SUM(P35:Q35)</f>
        <v>6960</v>
      </c>
    </row>
    <row r="36" spans="1:18" ht="15.75" x14ac:dyDescent="0.25">
      <c r="A36" s="81">
        <v>40</v>
      </c>
      <c r="B36" s="81" t="s">
        <v>850</v>
      </c>
      <c r="C36" s="83"/>
      <c r="D36" s="81">
        <v>4454</v>
      </c>
      <c r="E36" s="82">
        <v>0</v>
      </c>
      <c r="F36" s="82">
        <v>0</v>
      </c>
      <c r="G36" s="82">
        <f t="shared" si="0"/>
        <v>0</v>
      </c>
      <c r="I36" s="81">
        <v>33</v>
      </c>
      <c r="J36" s="85" t="s">
        <v>831</v>
      </c>
      <c r="K36" s="85"/>
      <c r="L36" s="85"/>
      <c r="M36" s="86"/>
      <c r="N36" s="81"/>
      <c r="O36" s="81">
        <v>4436</v>
      </c>
      <c r="P36" s="149" t="s">
        <v>1049</v>
      </c>
      <c r="Q36" s="81">
        <v>0</v>
      </c>
      <c r="R36" s="105">
        <v>2850</v>
      </c>
    </row>
    <row r="37" spans="1:18" ht="15.75" x14ac:dyDescent="0.25">
      <c r="A37" s="81">
        <v>41</v>
      </c>
      <c r="B37" s="81" t="s">
        <v>842</v>
      </c>
      <c r="C37" s="83" t="s">
        <v>0</v>
      </c>
      <c r="D37" s="81">
        <v>4444</v>
      </c>
      <c r="E37" s="82">
        <v>0</v>
      </c>
      <c r="F37" s="82">
        <v>0</v>
      </c>
      <c r="G37" s="82">
        <f t="shared" si="0"/>
        <v>0</v>
      </c>
      <c r="I37" s="139">
        <v>34</v>
      </c>
      <c r="J37" s="140" t="s">
        <v>850</v>
      </c>
      <c r="K37" s="140"/>
      <c r="L37" s="140"/>
      <c r="M37" s="139"/>
      <c r="N37" s="81"/>
      <c r="O37" s="81">
        <v>4454</v>
      </c>
      <c r="P37" s="86">
        <v>4000</v>
      </c>
      <c r="Q37" s="81">
        <v>0</v>
      </c>
      <c r="R37" s="105">
        <f t="shared" si="2"/>
        <v>4000</v>
      </c>
    </row>
    <row r="38" spans="1:18" ht="15.75" x14ac:dyDescent="0.25">
      <c r="A38" s="81">
        <v>42</v>
      </c>
      <c r="B38" s="81" t="s">
        <v>822</v>
      </c>
      <c r="C38" s="83"/>
      <c r="D38" s="81">
        <v>4412</v>
      </c>
      <c r="E38" s="82">
        <v>0</v>
      </c>
      <c r="F38" s="82">
        <v>0</v>
      </c>
      <c r="G38" s="82">
        <f t="shared" si="0"/>
        <v>0</v>
      </c>
      <c r="I38" s="139">
        <v>35</v>
      </c>
      <c r="J38" s="140" t="s">
        <v>842</v>
      </c>
      <c r="K38" s="140"/>
      <c r="L38" s="140"/>
      <c r="M38" s="139"/>
      <c r="N38" s="81"/>
      <c r="O38" s="81">
        <v>4444</v>
      </c>
      <c r="P38" s="135">
        <v>0</v>
      </c>
      <c r="Q38" s="81">
        <v>0</v>
      </c>
      <c r="R38" s="109">
        <f t="shared" si="2"/>
        <v>0</v>
      </c>
    </row>
    <row r="39" spans="1:18" ht="15.75" x14ac:dyDescent="0.25">
      <c r="A39" s="81">
        <v>43</v>
      </c>
      <c r="B39" s="81" t="s">
        <v>958</v>
      </c>
      <c r="C39" s="83"/>
      <c r="D39" s="81">
        <v>4420</v>
      </c>
      <c r="E39" s="82">
        <v>0</v>
      </c>
      <c r="F39" s="82">
        <v>0</v>
      </c>
      <c r="G39" s="82">
        <f t="shared" si="0"/>
        <v>0</v>
      </c>
      <c r="I39" s="136">
        <v>36</v>
      </c>
      <c r="J39" s="138" t="s">
        <v>822</v>
      </c>
      <c r="K39" s="120"/>
      <c r="L39" s="120"/>
      <c r="M39" s="120"/>
      <c r="N39" s="81"/>
      <c r="O39" s="81">
        <v>4412</v>
      </c>
      <c r="P39" s="86">
        <v>3100</v>
      </c>
      <c r="Q39" s="81">
        <v>0</v>
      </c>
      <c r="R39" s="105">
        <f t="shared" si="2"/>
        <v>3100</v>
      </c>
    </row>
    <row r="40" spans="1:18" s="1" customFormat="1" ht="15.75" x14ac:dyDescent="0.25">
      <c r="A40" s="66"/>
      <c r="B40" s="66" t="s">
        <v>57</v>
      </c>
      <c r="C40" s="114"/>
      <c r="D40" s="66"/>
      <c r="E40" s="115">
        <f>SUM(E2:E39)</f>
        <v>122020</v>
      </c>
      <c r="F40" s="115">
        <f>SUM(F2:F39)</f>
        <v>13520</v>
      </c>
      <c r="G40" s="115">
        <f>SUM(G2:G39)</f>
        <v>135540</v>
      </c>
      <c r="I40" s="81">
        <v>37</v>
      </c>
      <c r="J40" s="85" t="s">
        <v>958</v>
      </c>
      <c r="K40" s="85"/>
      <c r="L40" s="85"/>
      <c r="M40" s="129"/>
      <c r="N40" s="66"/>
      <c r="O40" s="81">
        <v>4420</v>
      </c>
      <c r="P40" s="86">
        <v>0</v>
      </c>
      <c r="Q40" s="81">
        <v>0</v>
      </c>
      <c r="R40" s="105">
        <f t="shared" si="2"/>
        <v>0</v>
      </c>
    </row>
    <row r="41" spans="1:18" s="1" customFormat="1" ht="15.75" x14ac:dyDescent="0.25">
      <c r="A41" s="103"/>
      <c r="B41" s="103"/>
      <c r="C41" s="147"/>
      <c r="D41" s="103"/>
      <c r="E41" s="148"/>
      <c r="F41" s="148"/>
      <c r="G41" s="148"/>
      <c r="I41" s="139">
        <v>38</v>
      </c>
      <c r="J41" s="140" t="s">
        <v>983</v>
      </c>
      <c r="K41" s="140"/>
      <c r="L41" s="140"/>
      <c r="M41" s="141"/>
      <c r="N41" s="66"/>
      <c r="O41" s="81">
        <v>4625</v>
      </c>
      <c r="P41" s="135">
        <v>7000</v>
      </c>
      <c r="Q41" s="81">
        <v>0</v>
      </c>
      <c r="R41" s="105">
        <f t="shared" si="2"/>
        <v>7000</v>
      </c>
    </row>
    <row r="42" spans="1:18" s="1" customFormat="1" ht="15.75" x14ac:dyDescent="0.25">
      <c r="A42" s="103"/>
      <c r="B42" s="103"/>
      <c r="C42" s="147"/>
      <c r="D42" s="103"/>
      <c r="E42" s="148"/>
      <c r="F42" s="148"/>
      <c r="G42" s="148"/>
      <c r="I42" s="139">
        <v>39</v>
      </c>
      <c r="J42" s="140" t="s">
        <v>996</v>
      </c>
      <c r="K42" s="140"/>
      <c r="L42" s="140"/>
      <c r="M42" s="141"/>
      <c r="N42" s="66"/>
      <c r="O42" s="81">
        <v>4639</v>
      </c>
      <c r="P42" s="135">
        <v>7000</v>
      </c>
      <c r="Q42" s="81">
        <v>0</v>
      </c>
      <c r="R42" s="105">
        <f t="shared" si="2"/>
        <v>7000</v>
      </c>
    </row>
    <row r="43" spans="1:18" s="1" customFormat="1" ht="15.75" x14ac:dyDescent="0.25">
      <c r="A43" s="103"/>
      <c r="B43" s="103"/>
      <c r="C43" s="147"/>
      <c r="D43" s="103"/>
      <c r="E43" s="148"/>
      <c r="F43" s="148"/>
      <c r="G43" s="148"/>
      <c r="I43" s="139">
        <v>40</v>
      </c>
      <c r="J43" s="140" t="s">
        <v>997</v>
      </c>
      <c r="K43" s="140"/>
      <c r="L43" s="140"/>
      <c r="M43" s="141"/>
      <c r="N43" s="66"/>
      <c r="O43" s="81">
        <v>4640</v>
      </c>
      <c r="P43" s="135">
        <v>10000</v>
      </c>
      <c r="Q43" s="81">
        <v>0</v>
      </c>
      <c r="R43" s="105">
        <f t="shared" si="2"/>
        <v>10000</v>
      </c>
    </row>
    <row r="44" spans="1:18" s="1" customFormat="1" ht="15.75" x14ac:dyDescent="0.25">
      <c r="A44" s="103"/>
      <c r="B44" s="103"/>
      <c r="C44" s="147"/>
      <c r="D44" s="103"/>
      <c r="E44" s="148"/>
      <c r="F44" s="148"/>
      <c r="G44" s="148"/>
      <c r="I44" s="139">
        <v>41</v>
      </c>
      <c r="J44" s="140" t="s">
        <v>1019</v>
      </c>
      <c r="K44" s="140"/>
      <c r="L44" s="140"/>
      <c r="M44" s="141"/>
      <c r="N44" s="66"/>
      <c r="O44" s="81">
        <v>4661</v>
      </c>
      <c r="P44" s="135">
        <v>8440</v>
      </c>
      <c r="Q44" s="81">
        <v>0</v>
      </c>
      <c r="R44" s="105">
        <f t="shared" si="2"/>
        <v>8440</v>
      </c>
    </row>
    <row r="45" spans="1:18" s="1" customFormat="1" ht="15.75" x14ac:dyDescent="0.25">
      <c r="I45" s="141"/>
      <c r="J45" s="142"/>
      <c r="K45" s="142" t="s">
        <v>57</v>
      </c>
      <c r="L45" s="142"/>
      <c r="M45" s="141"/>
      <c r="N45" s="66"/>
      <c r="O45" s="66"/>
      <c r="P45" s="143">
        <f>SUM(P3:P44)</f>
        <v>573850</v>
      </c>
      <c r="Q45" s="115">
        <f>SUM(Q3:Q44)</f>
        <v>92390</v>
      </c>
      <c r="R45" s="134">
        <f>SUM(R3:R44)</f>
        <v>669090</v>
      </c>
    </row>
  </sheetData>
  <sortState ref="I4:R47">
    <sortCondition descending="1" ref="R4:R47"/>
  </sortState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Q45"/>
  <sheetViews>
    <sheetView tabSelected="1" topLeftCell="A11" workbookViewId="0">
      <selection activeCell="E43" sqref="E43"/>
    </sheetView>
  </sheetViews>
  <sheetFormatPr defaultRowHeight="15" x14ac:dyDescent="0.25"/>
  <cols>
    <col min="1" max="1" width="5.42578125" customWidth="1"/>
    <col min="2" max="2" width="37" customWidth="1"/>
    <col min="3" max="3" width="5.5703125" customWidth="1"/>
    <col min="6" max="6" width="10.85546875" customWidth="1"/>
    <col min="7" max="7" width="10.5703125" customWidth="1"/>
  </cols>
  <sheetData>
    <row r="1" spans="1:13" s="99" customFormat="1" x14ac:dyDescent="0.25">
      <c r="A1" s="99" t="s">
        <v>1043</v>
      </c>
    </row>
    <row r="2" spans="1:13" s="99" customFormat="1" x14ac:dyDescent="0.25">
      <c r="A2" s="116" t="s">
        <v>437</v>
      </c>
      <c r="B2" s="116" t="s">
        <v>116</v>
      </c>
      <c r="C2" s="116"/>
      <c r="D2" s="116" t="s">
        <v>52</v>
      </c>
      <c r="E2" s="116" t="s">
        <v>114</v>
      </c>
      <c r="F2" s="116" t="s">
        <v>4</v>
      </c>
      <c r="G2" s="116" t="s">
        <v>113</v>
      </c>
    </row>
    <row r="3" spans="1:13" x14ac:dyDescent="0.25">
      <c r="A3" s="81">
        <v>1</v>
      </c>
      <c r="B3" s="81" t="s">
        <v>823</v>
      </c>
      <c r="C3" s="83" t="s">
        <v>0</v>
      </c>
      <c r="D3" s="81">
        <v>4419</v>
      </c>
      <c r="E3" s="82">
        <v>40500</v>
      </c>
      <c r="F3" s="82">
        <v>34890</v>
      </c>
      <c r="G3" s="41">
        <f t="shared" ref="G3:G43" si="0">SUM(E3:F3)</f>
        <v>75390</v>
      </c>
    </row>
    <row r="4" spans="1:13" x14ac:dyDescent="0.25">
      <c r="A4" s="81">
        <v>2</v>
      </c>
      <c r="B4" s="81" t="s">
        <v>821</v>
      </c>
      <c r="C4" s="83" t="s">
        <v>0</v>
      </c>
      <c r="D4" s="81">
        <v>4417</v>
      </c>
      <c r="E4" s="82">
        <v>40500</v>
      </c>
      <c r="F4" s="82">
        <v>20240</v>
      </c>
      <c r="G4" s="41">
        <f t="shared" si="0"/>
        <v>60740</v>
      </c>
    </row>
    <row r="5" spans="1:13" x14ac:dyDescent="0.25">
      <c r="A5" s="81">
        <v>11</v>
      </c>
      <c r="B5" s="81" t="s">
        <v>876</v>
      </c>
      <c r="C5" s="83"/>
      <c r="D5" s="81">
        <v>4489</v>
      </c>
      <c r="E5" s="82">
        <v>11000</v>
      </c>
      <c r="F5" s="82">
        <v>8200</v>
      </c>
      <c r="G5" s="41">
        <f t="shared" si="0"/>
        <v>19200</v>
      </c>
    </row>
    <row r="6" spans="1:13" x14ac:dyDescent="0.25">
      <c r="A6" s="81">
        <v>12</v>
      </c>
      <c r="B6" s="81" t="s">
        <v>899</v>
      </c>
      <c r="C6" s="83"/>
      <c r="D6" s="81">
        <v>4545</v>
      </c>
      <c r="E6" s="82">
        <v>11000</v>
      </c>
      <c r="F6" s="81">
        <v>6500</v>
      </c>
      <c r="G6" s="82">
        <f t="shared" si="0"/>
        <v>17500</v>
      </c>
    </row>
    <row r="7" spans="1:13" x14ac:dyDescent="0.25">
      <c r="A7" s="81">
        <v>13</v>
      </c>
      <c r="B7" s="81" t="s">
        <v>810</v>
      </c>
      <c r="C7" s="83"/>
      <c r="D7" s="81">
        <v>4401</v>
      </c>
      <c r="E7" s="82">
        <v>11000</v>
      </c>
      <c r="F7" s="82">
        <v>3500</v>
      </c>
      <c r="G7" s="41">
        <f t="shared" si="0"/>
        <v>14500</v>
      </c>
    </row>
    <row r="8" spans="1:13" x14ac:dyDescent="0.25">
      <c r="A8" s="81">
        <v>14</v>
      </c>
      <c r="B8" s="81" t="s">
        <v>846</v>
      </c>
      <c r="C8" s="83"/>
      <c r="D8" s="81">
        <v>4433</v>
      </c>
      <c r="E8" s="82">
        <v>8050</v>
      </c>
      <c r="F8" s="82">
        <v>0</v>
      </c>
      <c r="G8" s="82">
        <f t="shared" si="0"/>
        <v>8050</v>
      </c>
    </row>
    <row r="9" spans="1:13" x14ac:dyDescent="0.25">
      <c r="A9" s="81">
        <v>15</v>
      </c>
      <c r="B9" s="81" t="s">
        <v>894</v>
      </c>
      <c r="C9" s="83"/>
      <c r="D9" s="81">
        <v>4494</v>
      </c>
      <c r="E9" s="82">
        <v>11000</v>
      </c>
      <c r="F9" s="82">
        <v>7000</v>
      </c>
      <c r="G9" s="82">
        <f t="shared" si="0"/>
        <v>18000</v>
      </c>
    </row>
    <row r="10" spans="1:13" x14ac:dyDescent="0.25">
      <c r="A10" s="81">
        <v>16</v>
      </c>
      <c r="B10" s="81" t="s">
        <v>907</v>
      </c>
      <c r="C10" s="83" t="s">
        <v>0</v>
      </c>
      <c r="D10" s="81">
        <v>4604</v>
      </c>
      <c r="E10" s="82">
        <v>38850</v>
      </c>
      <c r="F10" s="81">
        <v>0</v>
      </c>
      <c r="G10" s="82">
        <f t="shared" si="0"/>
        <v>38850</v>
      </c>
      <c r="M10" t="s">
        <v>233</v>
      </c>
    </row>
    <row r="11" spans="1:13" x14ac:dyDescent="0.25">
      <c r="A11" s="81">
        <v>17</v>
      </c>
      <c r="B11" s="81" t="s">
        <v>849</v>
      </c>
      <c r="C11" s="83"/>
      <c r="D11" s="81">
        <v>4453</v>
      </c>
      <c r="E11" s="82">
        <v>11000</v>
      </c>
      <c r="F11" s="82">
        <v>4240</v>
      </c>
      <c r="G11" s="82">
        <f t="shared" si="0"/>
        <v>15240</v>
      </c>
    </row>
    <row r="12" spans="1:13" x14ac:dyDescent="0.25">
      <c r="A12" s="81">
        <v>18</v>
      </c>
      <c r="B12" s="81" t="s">
        <v>841</v>
      </c>
      <c r="C12" s="83" t="s">
        <v>0</v>
      </c>
      <c r="D12" s="81">
        <v>4443</v>
      </c>
      <c r="E12" s="82">
        <v>36500</v>
      </c>
      <c r="F12" s="82">
        <v>0</v>
      </c>
      <c r="G12" s="82">
        <f t="shared" si="0"/>
        <v>36500</v>
      </c>
    </row>
    <row r="13" spans="1:13" x14ac:dyDescent="0.25">
      <c r="A13" s="81">
        <v>19</v>
      </c>
      <c r="B13" s="81" t="s">
        <v>867</v>
      </c>
      <c r="C13" s="83"/>
      <c r="D13" s="81">
        <v>4485</v>
      </c>
      <c r="E13" s="82">
        <v>8400</v>
      </c>
      <c r="F13" s="82">
        <v>0</v>
      </c>
      <c r="G13" s="41">
        <f t="shared" si="0"/>
        <v>8400</v>
      </c>
    </row>
    <row r="14" spans="1:13" x14ac:dyDescent="0.25">
      <c r="A14" s="81">
        <v>20</v>
      </c>
      <c r="B14" s="81" t="s">
        <v>851</v>
      </c>
      <c r="C14" s="83"/>
      <c r="D14" s="81">
        <v>4455</v>
      </c>
      <c r="E14" s="82">
        <v>11000</v>
      </c>
      <c r="F14" s="82">
        <v>3000</v>
      </c>
      <c r="G14" s="82">
        <f t="shared" si="0"/>
        <v>14000</v>
      </c>
    </row>
    <row r="15" spans="1:13" x14ac:dyDescent="0.25">
      <c r="A15" s="81">
        <v>21</v>
      </c>
      <c r="B15" s="81" t="s">
        <v>815</v>
      </c>
      <c r="C15" s="83"/>
      <c r="D15" s="81">
        <v>4407</v>
      </c>
      <c r="E15" s="82">
        <v>11000</v>
      </c>
      <c r="F15" s="82">
        <v>4500</v>
      </c>
      <c r="G15" s="41">
        <f t="shared" si="0"/>
        <v>15500</v>
      </c>
    </row>
    <row r="16" spans="1:13" x14ac:dyDescent="0.25">
      <c r="A16" s="81">
        <v>22</v>
      </c>
      <c r="B16" s="81" t="s">
        <v>843</v>
      </c>
      <c r="C16" s="83" t="s">
        <v>0</v>
      </c>
      <c r="D16" s="81">
        <v>4421</v>
      </c>
      <c r="E16" s="82">
        <v>40500</v>
      </c>
      <c r="F16" s="82">
        <v>1860</v>
      </c>
      <c r="G16" s="82">
        <f>SUM(E16:F16)</f>
        <v>42360</v>
      </c>
    </row>
    <row r="17" spans="1:12" x14ac:dyDescent="0.25">
      <c r="A17" s="81">
        <v>23</v>
      </c>
      <c r="B17" s="81" t="s">
        <v>904</v>
      </c>
      <c r="C17" s="83" t="s">
        <v>631</v>
      </c>
      <c r="D17" s="81">
        <v>4503</v>
      </c>
      <c r="E17" s="82">
        <v>33500</v>
      </c>
      <c r="F17" s="81">
        <v>0</v>
      </c>
      <c r="G17" s="82">
        <f>SUM(E17:F17)</f>
        <v>33500</v>
      </c>
    </row>
    <row r="18" spans="1:12" x14ac:dyDescent="0.25">
      <c r="A18" s="81">
        <v>24</v>
      </c>
      <c r="B18" s="81" t="s">
        <v>971</v>
      </c>
      <c r="C18" s="83"/>
      <c r="D18" s="81">
        <v>4510</v>
      </c>
      <c r="E18" s="82">
        <v>11000</v>
      </c>
      <c r="F18" s="82">
        <v>3000</v>
      </c>
      <c r="G18" s="82">
        <f t="shared" si="0"/>
        <v>14000</v>
      </c>
      <c r="L18" t="s">
        <v>1051</v>
      </c>
    </row>
    <row r="19" spans="1:12" x14ac:dyDescent="0.25">
      <c r="A19" s="81">
        <v>25</v>
      </c>
      <c r="B19" s="81" t="s">
        <v>972</v>
      </c>
      <c r="C19" s="83"/>
      <c r="D19" s="81">
        <v>4509</v>
      </c>
      <c r="E19" s="82">
        <v>9000</v>
      </c>
      <c r="F19" s="82">
        <v>0</v>
      </c>
      <c r="G19" s="82">
        <f t="shared" si="0"/>
        <v>9000</v>
      </c>
    </row>
    <row r="20" spans="1:12" x14ac:dyDescent="0.25">
      <c r="A20" s="81">
        <v>26</v>
      </c>
      <c r="B20" s="81" t="s">
        <v>959</v>
      </c>
      <c r="C20" s="83" t="s">
        <v>0</v>
      </c>
      <c r="D20" s="81">
        <v>4615</v>
      </c>
      <c r="E20" s="82">
        <v>22500</v>
      </c>
      <c r="F20" s="82">
        <v>0</v>
      </c>
      <c r="G20" s="82">
        <f t="shared" si="0"/>
        <v>22500</v>
      </c>
    </row>
    <row r="21" spans="1:12" x14ac:dyDescent="0.25">
      <c r="A21" s="81">
        <v>27</v>
      </c>
      <c r="B21" s="81" t="s">
        <v>895</v>
      </c>
      <c r="C21" s="83"/>
      <c r="D21" s="81">
        <v>4499</v>
      </c>
      <c r="E21" s="82">
        <v>11000</v>
      </c>
      <c r="F21" s="82">
        <v>1960</v>
      </c>
      <c r="G21" s="82">
        <f t="shared" si="0"/>
        <v>12960</v>
      </c>
    </row>
    <row r="22" spans="1:12" x14ac:dyDescent="0.25">
      <c r="A22" s="81">
        <v>28</v>
      </c>
      <c r="B22" s="81" t="s">
        <v>960</v>
      </c>
      <c r="C22" s="83"/>
      <c r="D22" s="81">
        <v>4616</v>
      </c>
      <c r="E22" s="82">
        <v>7310</v>
      </c>
      <c r="F22" s="82">
        <v>0</v>
      </c>
      <c r="G22" s="82">
        <f>SUM(E22:F22)</f>
        <v>7310</v>
      </c>
      <c r="H22" s="26"/>
    </row>
    <row r="23" spans="1:12" x14ac:dyDescent="0.25">
      <c r="A23" s="81">
        <v>29</v>
      </c>
      <c r="B23" s="81" t="s">
        <v>970</v>
      </c>
      <c r="C23" s="83"/>
      <c r="D23" s="81">
        <v>4614</v>
      </c>
      <c r="E23" s="82">
        <v>11000</v>
      </c>
      <c r="F23" s="82">
        <v>1500</v>
      </c>
      <c r="G23" s="82">
        <f t="shared" si="0"/>
        <v>12500</v>
      </c>
    </row>
    <row r="24" spans="1:12" x14ac:dyDescent="0.25">
      <c r="A24" s="81">
        <v>30</v>
      </c>
      <c r="B24" s="81" t="s">
        <v>818</v>
      </c>
      <c r="C24" s="83" t="s">
        <v>0</v>
      </c>
      <c r="D24" s="81">
        <v>4411</v>
      </c>
      <c r="E24" s="82">
        <v>28250</v>
      </c>
      <c r="F24" s="82">
        <v>0</v>
      </c>
      <c r="G24" s="82">
        <f>SUM(E24:F24)</f>
        <v>28250</v>
      </c>
    </row>
    <row r="25" spans="1:12" x14ac:dyDescent="0.25">
      <c r="A25" s="81">
        <v>31</v>
      </c>
      <c r="B25" s="81" t="s">
        <v>829</v>
      </c>
      <c r="C25" s="83" t="s">
        <v>0</v>
      </c>
      <c r="D25" s="81">
        <v>4431</v>
      </c>
      <c r="E25" s="82">
        <v>35460</v>
      </c>
      <c r="F25" s="82">
        <v>0</v>
      </c>
      <c r="G25" s="82">
        <f t="shared" si="0"/>
        <v>35460</v>
      </c>
    </row>
    <row r="26" spans="1:12" x14ac:dyDescent="0.25">
      <c r="A26" s="81">
        <v>32</v>
      </c>
      <c r="B26" s="81" t="s">
        <v>825</v>
      </c>
      <c r="C26" s="83" t="s">
        <v>0</v>
      </c>
      <c r="D26" s="81">
        <v>4426</v>
      </c>
      <c r="E26" s="82">
        <v>29250</v>
      </c>
      <c r="F26" s="82">
        <v>0</v>
      </c>
      <c r="G26" s="82">
        <f t="shared" si="0"/>
        <v>29250</v>
      </c>
    </row>
    <row r="27" spans="1:12" x14ac:dyDescent="0.25">
      <c r="A27" s="81">
        <v>33</v>
      </c>
      <c r="B27" s="81" t="s">
        <v>834</v>
      </c>
      <c r="C27" s="83"/>
      <c r="D27" s="81">
        <v>4437</v>
      </c>
      <c r="E27" s="82">
        <v>11000</v>
      </c>
      <c r="F27" s="81">
        <v>10</v>
      </c>
      <c r="G27" s="82">
        <f t="shared" si="0"/>
        <v>11010</v>
      </c>
    </row>
    <row r="28" spans="1:12" x14ac:dyDescent="0.25">
      <c r="A28" s="81">
        <v>34</v>
      </c>
      <c r="B28" s="81" t="s">
        <v>1029</v>
      </c>
      <c r="C28" s="83" t="s">
        <v>0</v>
      </c>
      <c r="D28" s="81">
        <v>4405</v>
      </c>
      <c r="E28" s="82">
        <v>21000</v>
      </c>
      <c r="F28" s="82">
        <v>0</v>
      </c>
      <c r="G28" s="41">
        <f t="shared" si="0"/>
        <v>21000</v>
      </c>
    </row>
    <row r="29" spans="1:12" x14ac:dyDescent="0.25">
      <c r="A29" s="81">
        <v>35</v>
      </c>
      <c r="B29" s="81" t="s">
        <v>974</v>
      </c>
      <c r="C29" s="83"/>
      <c r="D29" s="81">
        <v>4622</v>
      </c>
      <c r="E29" s="82">
        <v>7000</v>
      </c>
      <c r="F29" s="82">
        <v>0</v>
      </c>
      <c r="G29" s="41">
        <f t="shared" si="0"/>
        <v>7000</v>
      </c>
    </row>
    <row r="30" spans="1:12" x14ac:dyDescent="0.25">
      <c r="A30" s="81">
        <v>36</v>
      </c>
      <c r="B30" s="81" t="s">
        <v>856</v>
      </c>
      <c r="C30" s="83"/>
      <c r="D30" s="81">
        <v>4461</v>
      </c>
      <c r="E30" s="82">
        <v>3750</v>
      </c>
      <c r="F30" s="82">
        <v>0</v>
      </c>
      <c r="G30" s="82">
        <f t="shared" si="0"/>
        <v>3750</v>
      </c>
    </row>
    <row r="31" spans="1:12" x14ac:dyDescent="0.25">
      <c r="A31" s="81">
        <v>37</v>
      </c>
      <c r="B31" s="81" t="s">
        <v>844</v>
      </c>
      <c r="C31" s="83"/>
      <c r="D31" s="81">
        <v>4415</v>
      </c>
      <c r="E31" s="82">
        <v>2000</v>
      </c>
      <c r="F31" s="82">
        <v>0</v>
      </c>
      <c r="G31" s="82">
        <f t="shared" si="0"/>
        <v>2000</v>
      </c>
    </row>
    <row r="32" spans="1:12" x14ac:dyDescent="0.25">
      <c r="A32" s="81">
        <v>38</v>
      </c>
      <c r="B32" s="81" t="s">
        <v>833</v>
      </c>
      <c r="C32" s="83"/>
      <c r="D32" s="81">
        <v>4435</v>
      </c>
      <c r="E32" s="82">
        <v>2000</v>
      </c>
      <c r="F32" s="82">
        <v>0</v>
      </c>
      <c r="G32" s="82">
        <f t="shared" si="0"/>
        <v>2000</v>
      </c>
    </row>
    <row r="33" spans="1:17" x14ac:dyDescent="0.25">
      <c r="A33" s="81">
        <v>39</v>
      </c>
      <c r="B33" s="81" t="s">
        <v>837</v>
      </c>
      <c r="C33" s="83" t="s">
        <v>0</v>
      </c>
      <c r="D33" s="81">
        <v>4441</v>
      </c>
      <c r="E33" s="82">
        <v>25500</v>
      </c>
      <c r="F33" s="82">
        <v>0</v>
      </c>
      <c r="G33" s="41">
        <f t="shared" si="0"/>
        <v>25500</v>
      </c>
    </row>
    <row r="34" spans="1:17" x14ac:dyDescent="0.25">
      <c r="A34" s="81">
        <v>40</v>
      </c>
      <c r="B34" s="81" t="s">
        <v>865</v>
      </c>
      <c r="C34" s="83"/>
      <c r="D34" s="81">
        <v>4465</v>
      </c>
      <c r="E34" s="82">
        <v>8940</v>
      </c>
      <c r="F34" s="82">
        <v>0</v>
      </c>
      <c r="G34" s="82">
        <f t="shared" si="0"/>
        <v>8940</v>
      </c>
    </row>
    <row r="35" spans="1:17" x14ac:dyDescent="0.25">
      <c r="A35" s="81">
        <v>41</v>
      </c>
      <c r="B35" s="81" t="s">
        <v>905</v>
      </c>
      <c r="C35" s="83"/>
      <c r="D35" s="81">
        <v>4503</v>
      </c>
      <c r="E35" s="82">
        <v>9500</v>
      </c>
      <c r="F35" s="81">
        <v>0</v>
      </c>
      <c r="G35" s="82">
        <f t="shared" si="0"/>
        <v>9500</v>
      </c>
    </row>
    <row r="36" spans="1:17" x14ac:dyDescent="0.25">
      <c r="A36" s="81">
        <v>42</v>
      </c>
      <c r="B36" s="81" t="s">
        <v>847</v>
      </c>
      <c r="C36" s="83"/>
      <c r="D36" s="81">
        <v>4447</v>
      </c>
      <c r="E36" s="82">
        <v>7250</v>
      </c>
      <c r="F36" s="82">
        <v>0</v>
      </c>
      <c r="G36" s="82">
        <f t="shared" si="0"/>
        <v>7250</v>
      </c>
    </row>
    <row r="37" spans="1:17" x14ac:dyDescent="0.25">
      <c r="A37" s="81">
        <v>43</v>
      </c>
      <c r="B37" s="81" t="s">
        <v>836</v>
      </c>
      <c r="C37" s="83"/>
      <c r="D37" s="81">
        <v>4439</v>
      </c>
      <c r="E37" s="82">
        <v>7350</v>
      </c>
      <c r="F37" s="81">
        <v>0</v>
      </c>
      <c r="G37" s="82">
        <f t="shared" si="0"/>
        <v>7350</v>
      </c>
    </row>
    <row r="38" spans="1:17" x14ac:dyDescent="0.25">
      <c r="A38" s="81">
        <v>44</v>
      </c>
      <c r="B38" s="81" t="s">
        <v>812</v>
      </c>
      <c r="C38" s="83" t="s">
        <v>0</v>
      </c>
      <c r="D38" s="81">
        <v>4403</v>
      </c>
      <c r="E38" s="82">
        <v>30500</v>
      </c>
      <c r="F38" s="82">
        <v>0</v>
      </c>
      <c r="G38" s="82">
        <f t="shared" si="0"/>
        <v>30500</v>
      </c>
    </row>
    <row r="39" spans="1:17" x14ac:dyDescent="0.25">
      <c r="A39" s="81">
        <v>45</v>
      </c>
      <c r="B39" s="81" t="s">
        <v>832</v>
      </c>
      <c r="C39" s="83"/>
      <c r="D39" s="81">
        <v>4429</v>
      </c>
      <c r="E39" s="82">
        <v>10770</v>
      </c>
      <c r="F39" s="81">
        <v>0</v>
      </c>
      <c r="G39" s="82">
        <f t="shared" si="0"/>
        <v>10770</v>
      </c>
    </row>
    <row r="40" spans="1:17" x14ac:dyDescent="0.25">
      <c r="A40" s="81">
        <v>46</v>
      </c>
      <c r="B40" s="81" t="s">
        <v>859</v>
      </c>
      <c r="C40" s="83"/>
      <c r="D40" s="81">
        <v>4481</v>
      </c>
      <c r="E40" s="82">
        <v>4200</v>
      </c>
      <c r="F40" s="82">
        <v>0</v>
      </c>
      <c r="G40" s="82">
        <f t="shared" si="0"/>
        <v>4200</v>
      </c>
    </row>
    <row r="41" spans="1:17" x14ac:dyDescent="0.25">
      <c r="A41" s="81">
        <v>47</v>
      </c>
      <c r="B41" s="81" t="s">
        <v>839</v>
      </c>
      <c r="C41" s="83"/>
      <c r="D41" s="81">
        <v>4399</v>
      </c>
      <c r="E41" s="82">
        <v>2140</v>
      </c>
      <c r="F41" s="81">
        <v>0</v>
      </c>
      <c r="G41" s="82">
        <f t="shared" si="0"/>
        <v>2140</v>
      </c>
    </row>
    <row r="42" spans="1:17" x14ac:dyDescent="0.25">
      <c r="A42" s="81">
        <v>48</v>
      </c>
      <c r="B42" s="81" t="s">
        <v>891</v>
      </c>
      <c r="C42" s="83"/>
      <c r="D42" s="81">
        <v>4471</v>
      </c>
      <c r="E42" s="82">
        <v>3250</v>
      </c>
      <c r="F42" s="82">
        <v>0</v>
      </c>
      <c r="G42" s="82">
        <f t="shared" si="0"/>
        <v>3250</v>
      </c>
    </row>
    <row r="43" spans="1:17" x14ac:dyDescent="0.25">
      <c r="A43" s="81">
        <v>49</v>
      </c>
      <c r="B43" s="81" t="s">
        <v>1037</v>
      </c>
      <c r="C43" s="83" t="s">
        <v>0</v>
      </c>
      <c r="D43" s="81">
        <v>4679</v>
      </c>
      <c r="E43" s="82">
        <v>22500</v>
      </c>
      <c r="F43" s="82">
        <v>0</v>
      </c>
      <c r="G43" s="82">
        <f t="shared" si="0"/>
        <v>22500</v>
      </c>
    </row>
    <row r="44" spans="1:17" s="1" customFormat="1" x14ac:dyDescent="0.25">
      <c r="A44" s="66"/>
      <c r="B44" s="66" t="s">
        <v>57</v>
      </c>
      <c r="C44" s="114"/>
      <c r="D44" s="66"/>
      <c r="E44" s="115">
        <f>SUM(E3:E43)</f>
        <v>667220</v>
      </c>
      <c r="F44" s="115">
        <f>SUM(F3:F43)</f>
        <v>100400</v>
      </c>
      <c r="G44" s="115">
        <f>SUM(G3:G43)</f>
        <v>767620</v>
      </c>
    </row>
    <row r="45" spans="1:17" x14ac:dyDescent="0.25">
      <c r="Q45" t="s">
        <v>2</v>
      </c>
    </row>
  </sheetData>
  <sortState ref="A3:G49">
    <sortCondition descending="1" ref="G3:G49"/>
  </sortState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J34"/>
  <sheetViews>
    <sheetView workbookViewId="0">
      <selection activeCell="P14" sqref="P14"/>
    </sheetView>
  </sheetViews>
  <sheetFormatPr defaultRowHeight="15" x14ac:dyDescent="0.25"/>
  <cols>
    <col min="1" max="1" width="9.7109375" bestFit="1" customWidth="1"/>
    <col min="2" max="2" width="5.140625" customWidth="1"/>
    <col min="3" max="3" width="12.85546875" customWidth="1"/>
    <col min="5" max="5" width="6.7109375" customWidth="1"/>
    <col min="7" max="7" width="10.7109375" customWidth="1"/>
    <col min="9" max="9" width="7.140625" customWidth="1"/>
    <col min="10" max="10" width="10.140625" customWidth="1"/>
  </cols>
  <sheetData>
    <row r="1" spans="1:10" x14ac:dyDescent="0.25">
      <c r="B1" s="67" t="s">
        <v>910</v>
      </c>
      <c r="C1" s="67"/>
      <c r="D1" s="67"/>
      <c r="E1" s="67"/>
      <c r="F1" s="67"/>
      <c r="G1" s="1"/>
      <c r="H1" s="1"/>
    </row>
    <row r="2" spans="1:10" x14ac:dyDescent="0.25">
      <c r="B2" s="67" t="s">
        <v>953</v>
      </c>
      <c r="C2" s="67"/>
      <c r="D2" s="67"/>
      <c r="E2" s="67"/>
      <c r="F2" s="67"/>
      <c r="G2" s="1"/>
      <c r="H2" s="1" t="s">
        <v>913</v>
      </c>
    </row>
    <row r="3" spans="1:10" x14ac:dyDescent="0.25">
      <c r="B3" s="67" t="s">
        <v>911</v>
      </c>
      <c r="C3" s="67"/>
      <c r="D3" s="67" t="s">
        <v>912</v>
      </c>
      <c r="E3" s="67"/>
      <c r="F3" s="67"/>
      <c r="G3" s="1"/>
      <c r="H3" s="1"/>
    </row>
    <row r="4" spans="1:10" x14ac:dyDescent="0.25">
      <c r="A4" s="67" t="s">
        <v>951</v>
      </c>
      <c r="B4" s="67"/>
      <c r="C4" s="67" t="s">
        <v>952</v>
      </c>
      <c r="G4" s="67" t="s">
        <v>920</v>
      </c>
      <c r="H4" s="67" t="s">
        <v>921</v>
      </c>
      <c r="I4" s="67"/>
      <c r="J4" s="67" t="s">
        <v>934</v>
      </c>
    </row>
    <row r="5" spans="1:10" x14ac:dyDescent="0.25">
      <c r="A5" s="125">
        <v>43954</v>
      </c>
      <c r="B5" s="120"/>
      <c r="C5" s="123">
        <v>43831</v>
      </c>
      <c r="D5" s="124"/>
      <c r="E5" s="120"/>
      <c r="F5" s="120"/>
      <c r="G5" s="121">
        <v>7000</v>
      </c>
      <c r="H5" s="121">
        <v>0</v>
      </c>
      <c r="I5" s="120"/>
      <c r="J5" s="121">
        <v>7000</v>
      </c>
    </row>
    <row r="6" spans="1:10" x14ac:dyDescent="0.25">
      <c r="A6" s="125">
        <v>43894</v>
      </c>
      <c r="B6" s="120"/>
      <c r="C6" s="123">
        <v>43862</v>
      </c>
      <c r="D6" s="124"/>
      <c r="E6" s="120"/>
      <c r="F6" s="120"/>
      <c r="G6" s="121">
        <v>7000</v>
      </c>
      <c r="H6" s="121">
        <v>0</v>
      </c>
      <c r="I6" s="120"/>
      <c r="J6" s="121">
        <v>7000</v>
      </c>
    </row>
    <row r="7" spans="1:10" x14ac:dyDescent="0.25">
      <c r="A7" s="124" t="s">
        <v>914</v>
      </c>
      <c r="B7" s="120"/>
      <c r="C7" s="124" t="s">
        <v>916</v>
      </c>
      <c r="D7" s="124"/>
      <c r="E7" s="120"/>
      <c r="F7" s="120" t="s">
        <v>923</v>
      </c>
      <c r="G7" s="121">
        <v>14000</v>
      </c>
      <c r="H7" s="121">
        <v>840</v>
      </c>
      <c r="I7" s="120"/>
      <c r="J7" s="121">
        <v>13160</v>
      </c>
    </row>
    <row r="8" spans="1:10" x14ac:dyDescent="0.25">
      <c r="A8" s="125">
        <v>43962</v>
      </c>
      <c r="B8" s="120"/>
      <c r="C8" s="124" t="s">
        <v>915</v>
      </c>
      <c r="D8" s="124"/>
      <c r="E8" s="120"/>
      <c r="F8" s="120"/>
      <c r="G8" s="121">
        <v>7000</v>
      </c>
      <c r="H8" s="121">
        <v>420</v>
      </c>
      <c r="I8" s="120"/>
      <c r="J8" s="121">
        <v>6580</v>
      </c>
    </row>
    <row r="9" spans="1:10" x14ac:dyDescent="0.25">
      <c r="A9" s="124" t="s">
        <v>917</v>
      </c>
      <c r="B9" s="120"/>
      <c r="C9" s="124" t="s">
        <v>929</v>
      </c>
      <c r="D9" s="124"/>
      <c r="E9" s="120"/>
      <c r="F9" s="120" t="s">
        <v>923</v>
      </c>
      <c r="G9" s="121">
        <v>14000</v>
      </c>
      <c r="H9" s="121">
        <v>840</v>
      </c>
      <c r="I9" s="120"/>
      <c r="J9" s="121">
        <v>13160</v>
      </c>
    </row>
    <row r="10" spans="1:10" x14ac:dyDescent="0.25">
      <c r="A10" s="124" t="s">
        <v>918</v>
      </c>
      <c r="B10" s="120"/>
      <c r="C10" s="123">
        <v>44197</v>
      </c>
      <c r="D10" s="124"/>
      <c r="E10" s="120"/>
      <c r="F10" s="120"/>
      <c r="G10" s="121">
        <v>7000</v>
      </c>
      <c r="H10" s="121">
        <v>420</v>
      </c>
      <c r="I10" s="120"/>
      <c r="J10" s="121">
        <v>6580</v>
      </c>
    </row>
    <row r="11" spans="1:10" x14ac:dyDescent="0.25">
      <c r="A11" s="124" t="s">
        <v>919</v>
      </c>
      <c r="B11" s="120"/>
      <c r="C11" s="124" t="s">
        <v>922</v>
      </c>
      <c r="D11" s="124"/>
      <c r="E11" s="120"/>
      <c r="F11" s="120" t="s">
        <v>923</v>
      </c>
      <c r="G11" s="121">
        <v>14000</v>
      </c>
      <c r="H11" s="121">
        <v>1840</v>
      </c>
      <c r="I11" s="120"/>
      <c r="J11" s="121">
        <v>12160</v>
      </c>
    </row>
    <row r="12" spans="1:10" x14ac:dyDescent="0.25">
      <c r="A12" s="124" t="s">
        <v>924</v>
      </c>
      <c r="B12" s="120"/>
      <c r="C12" s="123">
        <v>44287</v>
      </c>
      <c r="D12" s="124"/>
      <c r="E12" s="120"/>
      <c r="F12" s="120"/>
      <c r="G12" s="121">
        <v>7000</v>
      </c>
      <c r="H12" s="121">
        <v>920</v>
      </c>
      <c r="I12" s="120"/>
      <c r="J12" s="121">
        <v>6080</v>
      </c>
    </row>
    <row r="13" spans="1:10" x14ac:dyDescent="0.25">
      <c r="A13" s="125">
        <v>44538</v>
      </c>
      <c r="B13" s="120"/>
      <c r="C13" s="124" t="s">
        <v>927</v>
      </c>
      <c r="D13" s="124"/>
      <c r="E13" s="120"/>
      <c r="F13" s="120" t="s">
        <v>923</v>
      </c>
      <c r="G13" s="121">
        <v>14000</v>
      </c>
      <c r="H13" s="121">
        <v>1840</v>
      </c>
      <c r="I13" s="120"/>
      <c r="J13" s="121">
        <v>12160</v>
      </c>
    </row>
    <row r="14" spans="1:10" x14ac:dyDescent="0.25">
      <c r="A14" s="124" t="s">
        <v>925</v>
      </c>
      <c r="B14" s="120"/>
      <c r="C14" s="123" t="s">
        <v>926</v>
      </c>
      <c r="D14" s="124"/>
      <c r="E14" s="120"/>
      <c r="F14" s="120" t="s">
        <v>923</v>
      </c>
      <c r="G14" s="121">
        <v>14000</v>
      </c>
      <c r="H14" s="121">
        <v>1840</v>
      </c>
      <c r="I14" s="120"/>
      <c r="J14" s="121">
        <v>12160</v>
      </c>
    </row>
    <row r="15" spans="1:10" x14ac:dyDescent="0.25">
      <c r="A15" s="125">
        <v>44835</v>
      </c>
      <c r="B15" s="120"/>
      <c r="C15" s="124" t="s">
        <v>928</v>
      </c>
      <c r="D15" s="124"/>
      <c r="E15" s="120"/>
      <c r="F15" s="120" t="s">
        <v>923</v>
      </c>
      <c r="G15" s="121">
        <v>14000</v>
      </c>
      <c r="H15" s="121">
        <v>1840</v>
      </c>
      <c r="I15" s="120"/>
      <c r="J15" s="121">
        <v>12160</v>
      </c>
    </row>
    <row r="16" spans="1:10" x14ac:dyDescent="0.25">
      <c r="A16" s="124" t="s">
        <v>930</v>
      </c>
      <c r="B16" s="120"/>
      <c r="C16" s="123">
        <v>44501</v>
      </c>
      <c r="D16" s="124"/>
      <c r="E16" s="120"/>
      <c r="F16" s="120"/>
      <c r="G16" s="121">
        <v>7000</v>
      </c>
      <c r="H16" s="121">
        <v>920</v>
      </c>
      <c r="I16" s="120"/>
      <c r="J16" s="121">
        <v>6080</v>
      </c>
    </row>
    <row r="17" spans="1:10" x14ac:dyDescent="0.25">
      <c r="A17" s="125" t="s">
        <v>931</v>
      </c>
      <c r="B17" s="120"/>
      <c r="C17" s="123">
        <v>44531</v>
      </c>
      <c r="D17" s="124"/>
      <c r="E17" s="120"/>
      <c r="F17" s="120"/>
      <c r="G17" s="121">
        <v>7000</v>
      </c>
      <c r="H17" s="121">
        <v>920</v>
      </c>
      <c r="I17" s="120"/>
      <c r="J17" s="121">
        <v>6080</v>
      </c>
    </row>
    <row r="18" spans="1:10" x14ac:dyDescent="0.25">
      <c r="A18" s="124" t="s">
        <v>932</v>
      </c>
      <c r="B18" s="120"/>
      <c r="C18" s="123">
        <v>44562</v>
      </c>
      <c r="D18" s="124"/>
      <c r="E18" s="120"/>
      <c r="F18" s="120"/>
      <c r="G18" s="121">
        <v>7000</v>
      </c>
      <c r="H18" s="121">
        <v>920</v>
      </c>
      <c r="I18" s="120"/>
      <c r="J18" s="121">
        <v>6080</v>
      </c>
    </row>
    <row r="19" spans="1:10" x14ac:dyDescent="0.25">
      <c r="A19" s="125">
        <v>44717</v>
      </c>
      <c r="B19" s="120"/>
      <c r="C19" s="124" t="s">
        <v>933</v>
      </c>
      <c r="D19" s="124"/>
      <c r="E19" s="120"/>
      <c r="F19" s="120" t="s">
        <v>923</v>
      </c>
      <c r="G19" s="121">
        <v>14000</v>
      </c>
      <c r="H19" s="121">
        <v>1840</v>
      </c>
      <c r="I19" s="120"/>
      <c r="J19" s="121">
        <v>12160</v>
      </c>
    </row>
    <row r="20" spans="1:10" x14ac:dyDescent="0.25">
      <c r="A20" s="125">
        <v>44626</v>
      </c>
      <c r="B20" s="120"/>
      <c r="C20" s="123">
        <v>44652</v>
      </c>
      <c r="D20" s="124"/>
      <c r="E20" s="120"/>
      <c r="F20" s="120"/>
      <c r="G20" s="121">
        <v>7000</v>
      </c>
      <c r="H20" s="121">
        <v>920</v>
      </c>
      <c r="I20" s="120"/>
      <c r="J20" s="121">
        <v>6080</v>
      </c>
    </row>
    <row r="21" spans="1:10" x14ac:dyDescent="0.25">
      <c r="A21" s="125" t="s">
        <v>935</v>
      </c>
      <c r="B21" s="120"/>
      <c r="C21" s="123">
        <v>44682</v>
      </c>
      <c r="D21" s="124"/>
      <c r="E21" s="120"/>
      <c r="F21" s="120"/>
      <c r="G21" s="121">
        <v>7000</v>
      </c>
      <c r="H21" s="121">
        <v>920</v>
      </c>
      <c r="I21" s="120"/>
      <c r="J21" s="121">
        <v>6080</v>
      </c>
    </row>
    <row r="22" spans="1:10" x14ac:dyDescent="0.25">
      <c r="A22" s="125" t="s">
        <v>936</v>
      </c>
      <c r="B22" s="120"/>
      <c r="C22" s="123">
        <v>44713</v>
      </c>
      <c r="D22" s="124"/>
      <c r="E22" s="120"/>
      <c r="F22" s="120"/>
      <c r="G22" s="121">
        <v>7000</v>
      </c>
      <c r="H22" s="121">
        <v>920</v>
      </c>
      <c r="I22" s="120"/>
      <c r="J22" s="121">
        <v>6080</v>
      </c>
    </row>
    <row r="23" spans="1:10" x14ac:dyDescent="0.25">
      <c r="A23" s="125">
        <v>44691</v>
      </c>
      <c r="B23" s="120"/>
      <c r="C23" s="123">
        <v>44743</v>
      </c>
      <c r="D23" s="124"/>
      <c r="E23" s="120"/>
      <c r="F23" s="120"/>
      <c r="G23" s="121">
        <v>7000</v>
      </c>
      <c r="H23" s="121">
        <v>920</v>
      </c>
      <c r="I23" s="120"/>
      <c r="J23" s="121">
        <v>6080</v>
      </c>
    </row>
    <row r="24" spans="1:10" x14ac:dyDescent="0.25">
      <c r="A24" s="124" t="s">
        <v>937</v>
      </c>
      <c r="B24" s="120"/>
      <c r="C24" s="123">
        <v>44774</v>
      </c>
      <c r="D24" s="124"/>
      <c r="E24" s="120"/>
      <c r="F24" s="120"/>
      <c r="G24" s="121">
        <v>7000</v>
      </c>
      <c r="H24" s="121">
        <v>920</v>
      </c>
      <c r="I24" s="120"/>
      <c r="J24" s="121">
        <v>6080</v>
      </c>
    </row>
    <row r="25" spans="1:10" x14ac:dyDescent="0.25">
      <c r="A25" s="125">
        <v>44572</v>
      </c>
      <c r="B25" s="120"/>
      <c r="C25" s="123">
        <v>44805</v>
      </c>
      <c r="D25" s="124"/>
      <c r="E25" s="120"/>
      <c r="F25" s="120"/>
      <c r="G25" s="121">
        <v>7000</v>
      </c>
      <c r="H25" s="121">
        <v>920</v>
      </c>
      <c r="I25" s="120"/>
      <c r="J25" s="121">
        <v>6080</v>
      </c>
    </row>
    <row r="26" spans="1:10" x14ac:dyDescent="0.25">
      <c r="A26" s="125">
        <v>44959</v>
      </c>
      <c r="B26" s="120"/>
      <c r="C26" s="124" t="s">
        <v>938</v>
      </c>
      <c r="D26" s="124"/>
      <c r="E26" s="120"/>
      <c r="F26" s="120" t="s">
        <v>923</v>
      </c>
      <c r="G26" s="121">
        <v>14000</v>
      </c>
      <c r="H26" s="121">
        <v>1840</v>
      </c>
      <c r="I26" s="120"/>
      <c r="J26" s="121">
        <v>12160</v>
      </c>
    </row>
    <row r="27" spans="1:10" x14ac:dyDescent="0.25">
      <c r="A27" s="125">
        <v>44988</v>
      </c>
      <c r="B27" s="120"/>
      <c r="C27" s="124" t="s">
        <v>943</v>
      </c>
      <c r="D27" s="124"/>
      <c r="E27" s="120"/>
      <c r="F27" s="120"/>
      <c r="G27" s="121">
        <v>3000</v>
      </c>
      <c r="H27" s="121">
        <v>0</v>
      </c>
      <c r="I27" s="120"/>
      <c r="J27" s="121">
        <v>3000</v>
      </c>
    </row>
    <row r="28" spans="1:10" x14ac:dyDescent="0.25">
      <c r="A28" s="124" t="s">
        <v>939</v>
      </c>
      <c r="B28" s="120"/>
      <c r="C28" s="124" t="s">
        <v>944</v>
      </c>
      <c r="D28" s="124"/>
      <c r="E28" s="120"/>
      <c r="F28" s="120"/>
      <c r="G28" s="121">
        <v>4000</v>
      </c>
      <c r="H28" s="121">
        <v>920</v>
      </c>
      <c r="I28" s="120"/>
      <c r="J28" s="121">
        <v>3080</v>
      </c>
    </row>
    <row r="29" spans="1:10" x14ac:dyDescent="0.25">
      <c r="A29" s="125">
        <v>45266</v>
      </c>
      <c r="B29" s="120"/>
      <c r="C29" s="124" t="s">
        <v>940</v>
      </c>
      <c r="D29" s="124">
        <v>2023</v>
      </c>
      <c r="E29" s="120"/>
      <c r="F29" s="120" t="s">
        <v>923</v>
      </c>
      <c r="G29" s="121">
        <v>14000</v>
      </c>
      <c r="H29" s="121">
        <v>1840</v>
      </c>
      <c r="I29" s="120"/>
      <c r="J29" s="121">
        <v>12160</v>
      </c>
    </row>
    <row r="30" spans="1:10" x14ac:dyDescent="0.25">
      <c r="A30" s="124" t="s">
        <v>941</v>
      </c>
      <c r="B30" s="120"/>
      <c r="C30" s="124" t="s">
        <v>945</v>
      </c>
      <c r="D30" s="124"/>
      <c r="E30" s="120"/>
      <c r="F30" s="120" t="s">
        <v>942</v>
      </c>
      <c r="G30" s="121">
        <v>14000</v>
      </c>
      <c r="H30" s="121">
        <v>1840</v>
      </c>
      <c r="I30" s="120"/>
      <c r="J30" s="121">
        <v>12160</v>
      </c>
    </row>
    <row r="31" spans="1:10" x14ac:dyDescent="0.25">
      <c r="A31" s="125">
        <v>45597</v>
      </c>
      <c r="B31" s="120"/>
      <c r="C31" s="124" t="s">
        <v>946</v>
      </c>
      <c r="D31" s="124"/>
      <c r="E31" s="120"/>
      <c r="F31" s="120" t="s">
        <v>947</v>
      </c>
      <c r="G31" s="121">
        <v>16000</v>
      </c>
      <c r="H31" s="121">
        <v>1840</v>
      </c>
      <c r="I31" s="120"/>
      <c r="J31" s="121">
        <v>14160</v>
      </c>
    </row>
    <row r="32" spans="1:10" x14ac:dyDescent="0.25">
      <c r="A32" s="124" t="s">
        <v>948</v>
      </c>
      <c r="B32" s="120"/>
      <c r="C32" s="123">
        <v>45108</v>
      </c>
      <c r="D32" s="124"/>
      <c r="E32" s="120"/>
      <c r="F32" s="120"/>
      <c r="G32" s="121">
        <v>8000</v>
      </c>
      <c r="H32" s="121">
        <v>920</v>
      </c>
      <c r="I32" s="120"/>
      <c r="J32" s="121">
        <v>7080</v>
      </c>
    </row>
    <row r="33" spans="1:10" x14ac:dyDescent="0.25">
      <c r="A33" s="125" t="s">
        <v>949</v>
      </c>
      <c r="B33" s="120"/>
      <c r="C33" s="124" t="s">
        <v>950</v>
      </c>
      <c r="D33" s="124"/>
      <c r="E33" s="120"/>
      <c r="F33" s="120" t="s">
        <v>947</v>
      </c>
      <c r="G33" s="121">
        <v>16000</v>
      </c>
      <c r="H33" s="121">
        <v>1840</v>
      </c>
      <c r="I33" s="120"/>
      <c r="J33" s="121">
        <v>14160</v>
      </c>
    </row>
    <row r="34" spans="1:10" s="1" customFormat="1" x14ac:dyDescent="0.25">
      <c r="A34" s="67"/>
      <c r="B34" s="67"/>
      <c r="C34" s="67" t="s">
        <v>57</v>
      </c>
      <c r="D34" s="67"/>
      <c r="E34" s="67"/>
      <c r="F34" s="67"/>
      <c r="G34" s="67"/>
      <c r="H34" s="67"/>
      <c r="I34" s="67"/>
      <c r="J34" s="122">
        <f>SUM(J5:J33)</f>
        <v>253040</v>
      </c>
    </row>
  </sheetData>
  <pageMargins left="0.7" right="0.7" top="0.75" bottom="0.75" header="0.3" footer="0.3"/>
  <pageSetup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I53"/>
  <sheetViews>
    <sheetView topLeftCell="A19" workbookViewId="0">
      <selection activeCell="F33" sqref="F33"/>
    </sheetView>
  </sheetViews>
  <sheetFormatPr defaultRowHeight="15" x14ac:dyDescent="0.25"/>
  <cols>
    <col min="2" max="2" width="33.42578125" customWidth="1"/>
    <col min="5" max="5" width="17.5703125" customWidth="1"/>
  </cols>
  <sheetData>
    <row r="1" spans="1:5" x14ac:dyDescent="0.25">
      <c r="A1" s="99" t="s">
        <v>1034</v>
      </c>
      <c r="B1" s="99"/>
      <c r="C1" s="99"/>
      <c r="D1" s="99"/>
      <c r="E1" s="99"/>
    </row>
    <row r="2" spans="1:5" x14ac:dyDescent="0.25">
      <c r="A2" s="116" t="s">
        <v>413</v>
      </c>
      <c r="B2" s="116" t="s">
        <v>975</v>
      </c>
      <c r="C2" s="116" t="s">
        <v>52</v>
      </c>
      <c r="D2" s="116" t="s">
        <v>976</v>
      </c>
      <c r="E2" s="116" t="s">
        <v>977</v>
      </c>
    </row>
    <row r="3" spans="1:5" x14ac:dyDescent="0.25">
      <c r="A3" s="81">
        <v>1</v>
      </c>
      <c r="B3" s="81" t="s">
        <v>978</v>
      </c>
      <c r="C3" s="81">
        <v>4617</v>
      </c>
      <c r="D3" s="82" t="s">
        <v>979</v>
      </c>
      <c r="E3" s="41">
        <v>9000</v>
      </c>
    </row>
    <row r="4" spans="1:5" x14ac:dyDescent="0.25">
      <c r="A4" s="81">
        <v>2</v>
      </c>
      <c r="B4" s="81" t="s">
        <v>980</v>
      </c>
      <c r="C4" s="81">
        <v>4619</v>
      </c>
      <c r="D4" s="82" t="s">
        <v>979</v>
      </c>
      <c r="E4" s="41">
        <v>7000</v>
      </c>
    </row>
    <row r="5" spans="1:5" x14ac:dyDescent="0.25">
      <c r="A5" s="81">
        <v>3</v>
      </c>
      <c r="B5" s="81" t="s">
        <v>981</v>
      </c>
      <c r="C5" s="81">
        <v>4620</v>
      </c>
      <c r="D5" s="82" t="s">
        <v>979</v>
      </c>
      <c r="E5" s="41">
        <v>7000</v>
      </c>
    </row>
    <row r="6" spans="1:5" x14ac:dyDescent="0.25">
      <c r="A6" s="81">
        <v>4</v>
      </c>
      <c r="B6" s="81" t="s">
        <v>982</v>
      </c>
      <c r="C6" s="81">
        <v>4621</v>
      </c>
      <c r="D6" s="82" t="s">
        <v>979</v>
      </c>
      <c r="E6" s="41">
        <v>8000</v>
      </c>
    </row>
    <row r="7" spans="1:5" x14ac:dyDescent="0.25">
      <c r="A7" s="81">
        <v>5</v>
      </c>
      <c r="B7" s="81" t="s">
        <v>984</v>
      </c>
      <c r="C7" s="81">
        <v>4624</v>
      </c>
      <c r="D7" s="82" t="s">
        <v>979</v>
      </c>
      <c r="E7" s="41">
        <v>6000</v>
      </c>
    </row>
    <row r="8" spans="1:5" x14ac:dyDescent="0.25">
      <c r="A8" s="81">
        <v>6</v>
      </c>
      <c r="B8" s="81" t="s">
        <v>985</v>
      </c>
      <c r="C8" s="81">
        <v>4623</v>
      </c>
      <c r="D8" s="82" t="s">
        <v>979</v>
      </c>
      <c r="E8" s="41">
        <v>5000</v>
      </c>
    </row>
    <row r="9" spans="1:5" x14ac:dyDescent="0.25">
      <c r="A9" s="81">
        <v>7</v>
      </c>
      <c r="B9" s="81" t="s">
        <v>986</v>
      </c>
      <c r="C9" s="81">
        <v>4626</v>
      </c>
      <c r="D9" s="82" t="s">
        <v>979</v>
      </c>
      <c r="E9" s="41">
        <v>8500</v>
      </c>
    </row>
    <row r="10" spans="1:5" x14ac:dyDescent="0.25">
      <c r="A10" s="81">
        <v>8</v>
      </c>
      <c r="B10" s="81" t="s">
        <v>697</v>
      </c>
      <c r="C10" s="81">
        <v>4627</v>
      </c>
      <c r="D10" s="82" t="s">
        <v>0</v>
      </c>
      <c r="E10" s="41">
        <v>30500</v>
      </c>
    </row>
    <row r="11" spans="1:5" x14ac:dyDescent="0.25">
      <c r="A11" s="81">
        <v>9</v>
      </c>
      <c r="B11" s="81" t="s">
        <v>987</v>
      </c>
      <c r="C11" s="81">
        <v>4628</v>
      </c>
      <c r="D11" s="81" t="s">
        <v>979</v>
      </c>
      <c r="E11" s="41">
        <v>5500</v>
      </c>
    </row>
    <row r="12" spans="1:5" x14ac:dyDescent="0.25">
      <c r="A12" s="81">
        <v>10</v>
      </c>
      <c r="B12" s="81" t="s">
        <v>988</v>
      </c>
      <c r="C12" s="81">
        <v>4629</v>
      </c>
      <c r="D12" s="82" t="s">
        <v>979</v>
      </c>
      <c r="E12" s="41">
        <v>9300</v>
      </c>
    </row>
    <row r="13" spans="1:5" x14ac:dyDescent="0.25">
      <c r="A13" s="81">
        <v>11</v>
      </c>
      <c r="B13" s="81" t="s">
        <v>989</v>
      </c>
      <c r="C13" s="81">
        <v>4630</v>
      </c>
      <c r="D13" s="81" t="s">
        <v>979</v>
      </c>
      <c r="E13" s="41">
        <v>2000</v>
      </c>
    </row>
    <row r="14" spans="1:5" x14ac:dyDescent="0.25">
      <c r="A14" s="81">
        <v>12</v>
      </c>
      <c r="B14" s="81" t="s">
        <v>990</v>
      </c>
      <c r="C14" s="81">
        <v>4631</v>
      </c>
      <c r="D14" s="81" t="s">
        <v>979</v>
      </c>
      <c r="E14" s="41">
        <v>1000</v>
      </c>
    </row>
    <row r="15" spans="1:5" x14ac:dyDescent="0.25">
      <c r="A15" s="81">
        <v>13</v>
      </c>
      <c r="B15" s="81" t="s">
        <v>991</v>
      </c>
      <c r="C15" s="81">
        <v>4632</v>
      </c>
      <c r="D15" s="82" t="s">
        <v>979</v>
      </c>
      <c r="E15" s="41">
        <v>9000</v>
      </c>
    </row>
    <row r="16" spans="1:5" x14ac:dyDescent="0.25">
      <c r="A16" s="81">
        <v>14</v>
      </c>
      <c r="B16" s="81" t="s">
        <v>992</v>
      </c>
      <c r="C16" s="81">
        <v>4633</v>
      </c>
      <c r="D16" s="81" t="s">
        <v>979</v>
      </c>
      <c r="E16" s="41">
        <v>9000</v>
      </c>
    </row>
    <row r="17" spans="1:9" x14ac:dyDescent="0.25">
      <c r="A17" s="81">
        <v>15</v>
      </c>
      <c r="B17" s="81" t="s">
        <v>993</v>
      </c>
      <c r="C17" s="81">
        <v>4634</v>
      </c>
      <c r="D17" s="81" t="s">
        <v>0</v>
      </c>
      <c r="E17" s="41">
        <v>21500</v>
      </c>
    </row>
    <row r="18" spans="1:9" x14ac:dyDescent="0.25">
      <c r="A18" s="81">
        <v>16</v>
      </c>
      <c r="B18" s="81" t="s">
        <v>994</v>
      </c>
      <c r="C18" s="81">
        <v>4636</v>
      </c>
      <c r="D18" s="81" t="s">
        <v>979</v>
      </c>
      <c r="E18" s="41">
        <v>10300</v>
      </c>
    </row>
    <row r="19" spans="1:9" x14ac:dyDescent="0.25">
      <c r="A19" s="81">
        <v>17</v>
      </c>
      <c r="B19" s="81" t="s">
        <v>995</v>
      </c>
      <c r="C19" s="81">
        <v>4638</v>
      </c>
      <c r="D19" s="82" t="s">
        <v>979</v>
      </c>
      <c r="E19" s="41">
        <v>10000</v>
      </c>
    </row>
    <row r="20" spans="1:9" x14ac:dyDescent="0.25">
      <c r="A20" s="81">
        <v>18</v>
      </c>
      <c r="B20" s="81" t="s">
        <v>998</v>
      </c>
      <c r="C20" s="81">
        <v>4641</v>
      </c>
      <c r="D20" s="81" t="s">
        <v>0</v>
      </c>
      <c r="E20" s="41">
        <v>31500</v>
      </c>
    </row>
    <row r="21" spans="1:9" x14ac:dyDescent="0.25">
      <c r="A21" s="81">
        <v>19</v>
      </c>
      <c r="B21" s="81" t="s">
        <v>999</v>
      </c>
      <c r="C21" s="81">
        <v>4635</v>
      </c>
      <c r="D21" s="81" t="s">
        <v>979</v>
      </c>
      <c r="E21" s="41">
        <v>11000</v>
      </c>
    </row>
    <row r="22" spans="1:9" x14ac:dyDescent="0.25">
      <c r="A22" s="81">
        <v>20</v>
      </c>
      <c r="B22" s="81" t="s">
        <v>1000</v>
      </c>
      <c r="C22" s="81">
        <v>4637</v>
      </c>
      <c r="D22" s="82" t="s">
        <v>979</v>
      </c>
      <c r="E22" s="41">
        <v>11000</v>
      </c>
    </row>
    <row r="23" spans="1:9" x14ac:dyDescent="0.25">
      <c r="A23" s="81">
        <v>21</v>
      </c>
      <c r="B23" s="81" t="s">
        <v>1001</v>
      </c>
      <c r="C23" s="81">
        <v>4642</v>
      </c>
      <c r="D23" s="82" t="s">
        <v>0</v>
      </c>
      <c r="E23" s="41">
        <v>15000</v>
      </c>
    </row>
    <row r="24" spans="1:9" x14ac:dyDescent="0.25">
      <c r="A24" s="81">
        <v>22</v>
      </c>
      <c r="B24" s="81" t="s">
        <v>1003</v>
      </c>
      <c r="C24" s="81">
        <v>4643</v>
      </c>
      <c r="D24" s="82" t="s">
        <v>979</v>
      </c>
      <c r="E24" s="82">
        <v>9250</v>
      </c>
    </row>
    <row r="25" spans="1:9" x14ac:dyDescent="0.25">
      <c r="A25" s="81">
        <v>23</v>
      </c>
      <c r="B25" s="81" t="s">
        <v>1004</v>
      </c>
      <c r="C25" s="81">
        <v>4646</v>
      </c>
      <c r="D25" s="82" t="s">
        <v>979</v>
      </c>
      <c r="E25" s="82">
        <v>5500</v>
      </c>
    </row>
    <row r="26" spans="1:9" x14ac:dyDescent="0.25">
      <c r="A26" s="81">
        <v>24</v>
      </c>
      <c r="B26" s="81" t="s">
        <v>1005</v>
      </c>
      <c r="C26" s="81">
        <v>4648</v>
      </c>
      <c r="D26" s="82" t="s">
        <v>979</v>
      </c>
      <c r="E26" s="82">
        <v>8000</v>
      </c>
    </row>
    <row r="27" spans="1:9" x14ac:dyDescent="0.25">
      <c r="A27" s="81">
        <v>25</v>
      </c>
      <c r="B27" s="81" t="s">
        <v>1045</v>
      </c>
      <c r="C27" s="81">
        <v>4618</v>
      </c>
      <c r="D27" s="82" t="s">
        <v>979</v>
      </c>
      <c r="E27" s="82">
        <v>8720</v>
      </c>
    </row>
    <row r="28" spans="1:9" x14ac:dyDescent="0.25">
      <c r="A28" s="81">
        <v>26</v>
      </c>
      <c r="B28" s="81" t="s">
        <v>1006</v>
      </c>
      <c r="C28" s="81">
        <v>4645</v>
      </c>
      <c r="D28" s="82" t="s">
        <v>979</v>
      </c>
      <c r="E28" s="82">
        <v>9000</v>
      </c>
    </row>
    <row r="29" spans="1:9" x14ac:dyDescent="0.25">
      <c r="A29" s="81">
        <v>27</v>
      </c>
      <c r="B29" s="81" t="s">
        <v>1007</v>
      </c>
      <c r="C29" s="81">
        <v>4644</v>
      </c>
      <c r="D29" s="82" t="s">
        <v>979</v>
      </c>
      <c r="E29" s="82">
        <v>11000</v>
      </c>
    </row>
    <row r="30" spans="1:9" x14ac:dyDescent="0.25">
      <c r="A30" s="81">
        <v>28</v>
      </c>
      <c r="B30" s="81" t="s">
        <v>1046</v>
      </c>
      <c r="C30" s="81">
        <v>4649</v>
      </c>
      <c r="D30" s="82" t="s">
        <v>0</v>
      </c>
      <c r="E30" s="82">
        <v>30500</v>
      </c>
    </row>
    <row r="31" spans="1:9" x14ac:dyDescent="0.25">
      <c r="A31" s="81">
        <v>29</v>
      </c>
      <c r="B31" s="81" t="s">
        <v>1009</v>
      </c>
      <c r="C31" s="81">
        <v>4650</v>
      </c>
      <c r="D31" s="82" t="s">
        <v>979</v>
      </c>
      <c r="E31" s="82">
        <v>7500</v>
      </c>
    </row>
    <row r="32" spans="1:9" x14ac:dyDescent="0.25">
      <c r="A32" s="81">
        <v>30</v>
      </c>
      <c r="B32" s="81" t="s">
        <v>1010</v>
      </c>
      <c r="C32" s="81">
        <v>4651</v>
      </c>
      <c r="D32" s="82" t="s">
        <v>979</v>
      </c>
      <c r="E32" s="82">
        <v>9000</v>
      </c>
      <c r="I32" t="s">
        <v>233</v>
      </c>
    </row>
    <row r="33" spans="1:6" x14ac:dyDescent="0.25">
      <c r="A33" s="81">
        <v>31</v>
      </c>
      <c r="B33" s="81" t="s">
        <v>1011</v>
      </c>
      <c r="C33" s="81">
        <v>4652</v>
      </c>
      <c r="D33" s="82" t="s">
        <v>0</v>
      </c>
      <c r="E33" s="41">
        <v>25000</v>
      </c>
      <c r="F33" t="s">
        <v>2</v>
      </c>
    </row>
    <row r="34" spans="1:6" x14ac:dyDescent="0.25">
      <c r="A34" s="81">
        <v>32</v>
      </c>
      <c r="B34" s="81" t="s">
        <v>1012</v>
      </c>
      <c r="C34" s="81">
        <v>4653</v>
      </c>
      <c r="D34" s="82" t="s">
        <v>979</v>
      </c>
      <c r="E34" s="41">
        <v>8000</v>
      </c>
    </row>
    <row r="35" spans="1:6" x14ac:dyDescent="0.25">
      <c r="A35" s="81">
        <v>33</v>
      </c>
      <c r="B35" s="81" t="s">
        <v>1015</v>
      </c>
      <c r="C35" s="81">
        <v>4654</v>
      </c>
      <c r="D35" s="82" t="s">
        <v>0</v>
      </c>
      <c r="E35" s="41">
        <v>20500</v>
      </c>
    </row>
    <row r="36" spans="1:6" x14ac:dyDescent="0.25">
      <c r="A36" s="81">
        <v>34</v>
      </c>
      <c r="B36" s="81" t="s">
        <v>1017</v>
      </c>
      <c r="C36" s="81">
        <v>4656</v>
      </c>
      <c r="D36" s="82" t="s">
        <v>979</v>
      </c>
      <c r="E36" s="41">
        <v>8500</v>
      </c>
    </row>
    <row r="37" spans="1:6" x14ac:dyDescent="0.25">
      <c r="A37" s="81">
        <v>35</v>
      </c>
      <c r="B37" s="81" t="s">
        <v>1016</v>
      </c>
      <c r="C37" s="81">
        <v>4659</v>
      </c>
      <c r="D37" s="82" t="s">
        <v>0</v>
      </c>
      <c r="E37" s="41">
        <v>22500</v>
      </c>
    </row>
    <row r="38" spans="1:6" x14ac:dyDescent="0.25">
      <c r="A38" s="81">
        <v>36</v>
      </c>
      <c r="B38" s="81" t="s">
        <v>1018</v>
      </c>
      <c r="C38" s="81">
        <v>4660</v>
      </c>
      <c r="D38" s="82" t="s">
        <v>979</v>
      </c>
      <c r="E38" s="41">
        <v>10300</v>
      </c>
    </row>
    <row r="39" spans="1:6" x14ac:dyDescent="0.25">
      <c r="A39" s="81">
        <v>37</v>
      </c>
      <c r="B39" s="81" t="s">
        <v>1020</v>
      </c>
      <c r="C39" s="81">
        <v>4662</v>
      </c>
      <c r="D39" s="82" t="s">
        <v>979</v>
      </c>
      <c r="E39" s="41">
        <v>5300</v>
      </c>
    </row>
    <row r="40" spans="1:6" x14ac:dyDescent="0.25">
      <c r="A40" s="81">
        <v>38</v>
      </c>
      <c r="B40" s="81" t="s">
        <v>1021</v>
      </c>
      <c r="C40" s="81">
        <v>4663</v>
      </c>
      <c r="D40" s="82" t="s">
        <v>979</v>
      </c>
      <c r="E40" s="41">
        <v>8000</v>
      </c>
    </row>
    <row r="41" spans="1:6" x14ac:dyDescent="0.25">
      <c r="A41" s="81">
        <v>39</v>
      </c>
      <c r="B41" s="81" t="s">
        <v>1022</v>
      </c>
      <c r="C41" s="81">
        <v>4664</v>
      </c>
      <c r="D41" s="82" t="s">
        <v>0</v>
      </c>
      <c r="E41" s="41">
        <v>36000</v>
      </c>
    </row>
    <row r="42" spans="1:6" x14ac:dyDescent="0.25">
      <c r="A42" s="81">
        <v>40</v>
      </c>
      <c r="B42" s="81" t="s">
        <v>1023</v>
      </c>
      <c r="C42" s="81">
        <v>4666</v>
      </c>
      <c r="D42" s="82" t="s">
        <v>979</v>
      </c>
      <c r="E42" s="41">
        <v>8000</v>
      </c>
    </row>
    <row r="43" spans="1:6" x14ac:dyDescent="0.25">
      <c r="A43" s="81">
        <v>41</v>
      </c>
      <c r="B43" s="81" t="s">
        <v>1024</v>
      </c>
      <c r="C43" s="81">
        <v>4665</v>
      </c>
      <c r="D43" s="82" t="s">
        <v>979</v>
      </c>
      <c r="E43" s="41">
        <v>6000</v>
      </c>
    </row>
    <row r="44" spans="1:6" x14ac:dyDescent="0.25">
      <c r="A44" s="81">
        <v>42</v>
      </c>
      <c r="B44" s="81" t="s">
        <v>1025</v>
      </c>
      <c r="C44" s="81">
        <v>4668</v>
      </c>
      <c r="D44" s="82" t="s">
        <v>0</v>
      </c>
      <c r="E44" s="41">
        <v>15500</v>
      </c>
    </row>
    <row r="45" spans="1:6" x14ac:dyDescent="0.25">
      <c r="A45" s="81">
        <v>43</v>
      </c>
      <c r="B45" s="81" t="s">
        <v>1026</v>
      </c>
      <c r="C45" s="81">
        <v>4670</v>
      </c>
      <c r="D45" s="82" t="s">
        <v>979</v>
      </c>
      <c r="E45" s="41">
        <v>8000</v>
      </c>
    </row>
    <row r="46" spans="1:6" x14ac:dyDescent="0.25">
      <c r="A46" s="81">
        <v>44</v>
      </c>
      <c r="B46" s="81" t="s">
        <v>1027</v>
      </c>
      <c r="C46" s="81">
        <v>4671</v>
      </c>
      <c r="D46" s="82" t="s">
        <v>979</v>
      </c>
      <c r="E46" s="41">
        <v>11000</v>
      </c>
    </row>
    <row r="47" spans="1:6" x14ac:dyDescent="0.25">
      <c r="A47" s="81">
        <v>45</v>
      </c>
      <c r="B47" s="81" t="s">
        <v>1028</v>
      </c>
      <c r="C47" s="81">
        <v>4672</v>
      </c>
      <c r="D47" s="82" t="s">
        <v>979</v>
      </c>
      <c r="E47" s="41">
        <v>8000</v>
      </c>
    </row>
    <row r="48" spans="1:6" x14ac:dyDescent="0.25">
      <c r="A48" s="81">
        <v>46</v>
      </c>
      <c r="B48" s="81" t="s">
        <v>1030</v>
      </c>
      <c r="C48" s="81">
        <v>4673</v>
      </c>
      <c r="D48" s="82" t="s">
        <v>979</v>
      </c>
      <c r="E48" s="41">
        <v>10300</v>
      </c>
    </row>
    <row r="49" spans="1:5" x14ac:dyDescent="0.25">
      <c r="A49" s="81">
        <v>47</v>
      </c>
      <c r="B49" s="81" t="s">
        <v>1031</v>
      </c>
      <c r="C49" s="81">
        <v>4674</v>
      </c>
      <c r="D49" s="82" t="s">
        <v>979</v>
      </c>
      <c r="E49" s="41">
        <v>11000</v>
      </c>
    </row>
    <row r="50" spans="1:5" x14ac:dyDescent="0.25">
      <c r="A50" s="81">
        <v>48</v>
      </c>
      <c r="B50" s="81" t="s">
        <v>1033</v>
      </c>
      <c r="C50" s="81">
        <v>4675</v>
      </c>
      <c r="D50" s="82" t="s">
        <v>979</v>
      </c>
      <c r="E50" s="41">
        <v>9000</v>
      </c>
    </row>
    <row r="51" spans="1:5" x14ac:dyDescent="0.25">
      <c r="A51" s="81">
        <v>49</v>
      </c>
      <c r="B51" s="81" t="s">
        <v>1038</v>
      </c>
      <c r="C51" s="81">
        <v>4680</v>
      </c>
      <c r="D51" s="82" t="s">
        <v>0</v>
      </c>
      <c r="E51" s="41">
        <v>25500</v>
      </c>
    </row>
    <row r="52" spans="1:5" x14ac:dyDescent="0.25">
      <c r="A52" s="81"/>
      <c r="B52" s="81"/>
      <c r="C52" s="81"/>
      <c r="D52" s="82"/>
      <c r="E52" s="43">
        <f>SUM(E3:E51)</f>
        <v>581970</v>
      </c>
    </row>
    <row r="53" spans="1:5" x14ac:dyDescent="0.25">
      <c r="A53" s="81"/>
      <c r="B53" s="81"/>
      <c r="C53" s="81"/>
      <c r="D53" s="82"/>
      <c r="E53" s="41"/>
    </row>
  </sheetData>
  <sortState ref="A3:E40">
    <sortCondition ref="A3:A40"/>
  </sortState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FO</vt:lpstr>
      <vt:lpstr>F4Y18</vt:lpstr>
      <vt:lpstr>F4X18</vt:lpstr>
      <vt:lpstr>F4 Y17</vt:lpstr>
      <vt:lpstr>F4X19</vt:lpstr>
      <vt:lpstr>Sheet1</vt:lpstr>
      <vt:lpstr>F4Y19</vt:lpstr>
      <vt:lpstr> F4X17</vt:lpstr>
      <vt:lpstr>F4E20</vt:lpstr>
      <vt:lpstr>F4W20</vt:lpstr>
      <vt:lpstr>F4W21</vt:lpstr>
      <vt:lpstr>F4E21</vt:lpstr>
      <vt:lpstr>F4E22</vt:lpstr>
      <vt:lpstr>F4W22</vt:lpstr>
      <vt:lpstr>F4W23</vt:lpstr>
      <vt:lpstr>F4E23</vt:lpstr>
      <vt:lpstr>F4E24</vt:lpstr>
      <vt:lpstr>F4W24</vt:lpstr>
      <vt:lpstr>F4W25</vt:lpstr>
      <vt:lpstr> F4E25</vt:lpstr>
      <vt:lpstr>F4E</vt:lpstr>
      <vt:lpstr>F4W</vt:lpstr>
      <vt:lpstr>F3W</vt:lpstr>
      <vt:lpstr>F3E</vt:lpstr>
      <vt:lpstr>colo</vt:lpstr>
      <vt:lpstr>G 10-26</vt:lpstr>
      <vt:lpstr>Sheet3</vt:lpstr>
    </vt:vector>
  </TitlesOfParts>
  <Company>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bursur</dc:creator>
  <cp:lastModifiedBy>kikai</cp:lastModifiedBy>
  <cp:lastPrinted>2026-02-12T00:31:43Z</cp:lastPrinted>
  <dcterms:created xsi:type="dcterms:W3CDTF">2014-03-31T07:19:11Z</dcterms:created>
  <dcterms:modified xsi:type="dcterms:W3CDTF">2026-03-04T20:01:23Z</dcterms:modified>
</cp:coreProperties>
</file>